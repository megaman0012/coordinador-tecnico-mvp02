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5e7d8f8d9a137d2/Escritorio/"/>
    </mc:Choice>
  </mc:AlternateContent>
  <xr:revisionPtr revIDLastSave="0" documentId="8_{6DA4231B-473C-4481-9E5B-A34557CE315F}" xr6:coauthVersionLast="47" xr6:coauthVersionMax="47" xr10:uidLastSave="{00000000-0000-0000-0000-000000000000}"/>
  <bookViews>
    <workbookView xWindow="-120" yWindow="-120" windowWidth="20730" windowHeight="11040" tabRatio="920" activeTab="2" xr2:uid="{94336185-6265-4E9E-919B-5C01172D24D4}"/>
  </bookViews>
  <sheets>
    <sheet name="GLOSARIO" sheetId="6" r:id="rId1"/>
    <sheet name="master" sheetId="5" state="hidden" r:id="rId2"/>
    <sheet name="ORDENES" sheetId="1" r:id="rId3"/>
    <sheet name="PLANIFICACION" sheetId="2" r:id="rId4"/>
    <sheet name="HORAS" sheetId="3" r:id="rId5"/>
    <sheet name="FACTURA" sheetId="7" r:id="rId6"/>
    <sheet name="PROYECTO NVR" sheetId="8" r:id="rId7"/>
    <sheet name="PRO HUMOS" sheetId="9" r:id="rId8"/>
    <sheet name="PRO LECTORAS" sheetId="10" r:id="rId9"/>
    <sheet name="MANT ANUAL" sheetId="1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8" l="1"/>
  <c r="O16" i="8"/>
  <c r="I21" i="1" l="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7" i="1"/>
  <c r="I8" i="1"/>
  <c r="I9" i="1"/>
  <c r="I10" i="1"/>
  <c r="I11" i="1"/>
  <c r="I12" i="1"/>
  <c r="I13" i="1"/>
  <c r="I14" i="1"/>
  <c r="I15" i="1"/>
  <c r="I16" i="1"/>
  <c r="I17" i="1"/>
  <c r="I18" i="1"/>
  <c r="I19" i="1"/>
  <c r="I20" i="1"/>
  <c r="D2" i="2"/>
  <c r="E2" i="2"/>
  <c r="D3" i="2"/>
  <c r="E3" i="2"/>
  <c r="D4" i="2"/>
  <c r="E4" i="2"/>
  <c r="D5" i="2"/>
  <c r="E5" i="2"/>
  <c r="E10" i="2"/>
  <c r="D11" i="2"/>
  <c r="E11" i="2"/>
  <c r="D14" i="2"/>
  <c r="E14" i="2"/>
  <c r="D26" i="2"/>
  <c r="D27" i="2"/>
  <c r="E27" i="2"/>
  <c r="E37" i="2"/>
  <c r="A2" i="7" a="1"/>
  <c r="A2" i="7" s="1"/>
  <c r="I5" i="1"/>
  <c r="I6" i="1"/>
  <c r="I2" i="1"/>
  <c r="I3" i="1"/>
  <c r="I4" i="1"/>
  <c r="D6" i="2"/>
  <c r="D7" i="2"/>
  <c r="D8" i="2"/>
  <c r="D9" i="2"/>
  <c r="D10" i="2"/>
  <c r="D12" i="2"/>
  <c r="D13" i="2"/>
  <c r="E15" i="2"/>
  <c r="D16" i="2"/>
  <c r="D17" i="2"/>
  <c r="D18" i="2"/>
  <c r="D19" i="2"/>
  <c r="D20" i="2"/>
  <c r="D21" i="2"/>
  <c r="D23" i="2"/>
  <c r="D24" i="2"/>
  <c r="D25" i="2"/>
  <c r="E26" i="2"/>
  <c r="D28" i="2"/>
  <c r="D29" i="2"/>
  <c r="D30" i="2"/>
  <c r="D31" i="2"/>
  <c r="D32" i="2"/>
  <c r="D33" i="2"/>
  <c r="A34" i="2"/>
  <c r="D34" i="2" s="1"/>
  <c r="A35" i="2"/>
  <c r="D35" i="2" s="1"/>
  <c r="A36" i="2"/>
  <c r="D36" i="2" s="1"/>
  <c r="A37" i="2"/>
  <c r="D37" i="2" s="1"/>
  <c r="A38" i="2"/>
  <c r="E38" i="2" s="1"/>
  <c r="A39" i="2"/>
  <c r="D39" i="2" s="1"/>
  <c r="A40" i="2"/>
  <c r="E40" i="2" s="1"/>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D168" i="2" a="1"/>
  <c r="D168" i="2" s="1"/>
  <c r="E168" i="2" a="1"/>
  <c r="E168" i="2" s="1"/>
  <c r="D169" i="2" a="1"/>
  <c r="D169" i="2" s="1"/>
  <c r="E169" i="2" a="1"/>
  <c r="E169" i="2" s="1"/>
  <c r="D5" i="5"/>
  <c r="D6" i="5"/>
  <c r="D7" i="5"/>
  <c r="C9" i="5" s="1"/>
  <c r="D8" i="5"/>
  <c r="D9" i="5"/>
  <c r="D10" i="5"/>
  <c r="A6" i="5"/>
  <c r="B6" i="5"/>
  <c r="C6" i="5"/>
  <c r="A7" i="5"/>
  <c r="B7" i="5"/>
  <c r="C7" i="5"/>
  <c r="B9" i="5" s="1"/>
  <c r="A8" i="5"/>
  <c r="B8" i="5"/>
  <c r="C8" i="5"/>
  <c r="B10" i="5" s="1"/>
  <c r="A9" i="5"/>
  <c r="A10" i="5"/>
  <c r="C10" i="5"/>
  <c r="B5" i="5"/>
  <c r="C5" i="5"/>
  <c r="A5" i="5"/>
  <c r="D40" i="2" l="1"/>
  <c r="D38" i="2"/>
  <c r="N315" i="1"/>
  <c r="H129" i="1"/>
  <c r="H390" i="1"/>
  <c r="H429" i="1"/>
  <c r="H48" i="1"/>
  <c r="N463" i="1"/>
  <c r="N319" i="1"/>
  <c r="H150" i="1"/>
  <c r="H393" i="1"/>
  <c r="N343" i="1"/>
  <c r="N391" i="1"/>
  <c r="H249" i="1"/>
  <c r="H62" i="1"/>
  <c r="H366" i="1"/>
  <c r="H369" i="1"/>
  <c r="N339" i="1"/>
  <c r="H201" i="1"/>
  <c r="H415" i="1"/>
  <c r="H222" i="1"/>
  <c r="H41" i="1"/>
  <c r="N459" i="1"/>
  <c r="H273" i="1"/>
  <c r="H294" i="1"/>
  <c r="H345" i="1"/>
  <c r="H102" i="1"/>
  <c r="N363" i="1"/>
  <c r="H225" i="1"/>
  <c r="H476" i="1"/>
  <c r="N387" i="1"/>
  <c r="H246" i="1"/>
  <c r="H66" i="1"/>
  <c r="H87" i="1"/>
  <c r="H22" i="1"/>
  <c r="H105" i="1"/>
  <c r="N7" i="1"/>
  <c r="N21" i="1"/>
  <c r="N33" i="1"/>
  <c r="N45" i="1"/>
  <c r="N57" i="1"/>
  <c r="N69" i="1"/>
  <c r="N81" i="1"/>
  <c r="N93" i="1"/>
  <c r="N105" i="1"/>
  <c r="N117" i="1"/>
  <c r="N129" i="1"/>
  <c r="N141" i="1"/>
  <c r="N153" i="1"/>
  <c r="N165" i="1"/>
  <c r="N177" i="1"/>
  <c r="N189" i="1"/>
  <c r="N201" i="1"/>
  <c r="N213" i="1"/>
  <c r="N225" i="1"/>
  <c r="N237" i="1"/>
  <c r="N249" i="1"/>
  <c r="N261" i="1"/>
  <c r="N273" i="1"/>
  <c r="N285" i="1"/>
  <c r="N297" i="1"/>
  <c r="N309" i="1"/>
  <c r="N321" i="1"/>
  <c r="N333" i="1"/>
  <c r="N345" i="1"/>
  <c r="N357" i="1"/>
  <c r="N369" i="1"/>
  <c r="N381" i="1"/>
  <c r="N393" i="1"/>
  <c r="N405" i="1"/>
  <c r="N417" i="1"/>
  <c r="N429" i="1"/>
  <c r="N441" i="1"/>
  <c r="N453" i="1"/>
  <c r="N465" i="1"/>
  <c r="N477" i="1"/>
  <c r="H109" i="1"/>
  <c r="H121" i="1"/>
  <c r="H133" i="1"/>
  <c r="H145" i="1"/>
  <c r="H157" i="1"/>
  <c r="H169" i="1"/>
  <c r="H181" i="1"/>
  <c r="H193" i="1"/>
  <c r="H205" i="1"/>
  <c r="H217" i="1"/>
  <c r="H229" i="1"/>
  <c r="H241" i="1"/>
  <c r="H253" i="1"/>
  <c r="H265" i="1"/>
  <c r="H277" i="1"/>
  <c r="H289" i="1"/>
  <c r="H301" i="1"/>
  <c r="H313" i="1"/>
  <c r="H325" i="1"/>
  <c r="H337" i="1"/>
  <c r="H349" i="1"/>
  <c r="H361" i="1"/>
  <c r="H373" i="1"/>
  <c r="H385" i="1"/>
  <c r="H397" i="1"/>
  <c r="H409" i="1"/>
  <c r="H421" i="1"/>
  <c r="H433" i="1"/>
  <c r="H445" i="1"/>
  <c r="H457" i="1"/>
  <c r="H469" i="1"/>
  <c r="H31" i="1"/>
  <c r="H43" i="1"/>
  <c r="H55" i="1"/>
  <c r="H67" i="1"/>
  <c r="H79" i="1"/>
  <c r="H91" i="1"/>
  <c r="H23" i="1"/>
  <c r="N22" i="1"/>
  <c r="N34" i="1"/>
  <c r="N46" i="1"/>
  <c r="N58" i="1"/>
  <c r="N70" i="1"/>
  <c r="N82" i="1"/>
  <c r="N94" i="1"/>
  <c r="N106" i="1"/>
  <c r="N118" i="1"/>
  <c r="N130" i="1"/>
  <c r="N142" i="1"/>
  <c r="N154" i="1"/>
  <c r="N166" i="1"/>
  <c r="N178" i="1"/>
  <c r="N190" i="1"/>
  <c r="N202" i="1"/>
  <c r="N214" i="1"/>
  <c r="N226" i="1"/>
  <c r="N238" i="1"/>
  <c r="N250" i="1"/>
  <c r="N262" i="1"/>
  <c r="N274" i="1"/>
  <c r="N286" i="1"/>
  <c r="N298" i="1"/>
  <c r="N310" i="1"/>
  <c r="N322" i="1"/>
  <c r="N334" i="1"/>
  <c r="N346" i="1"/>
  <c r="N358" i="1"/>
  <c r="N370" i="1"/>
  <c r="N382" i="1"/>
  <c r="N394" i="1"/>
  <c r="N406" i="1"/>
  <c r="N418" i="1"/>
  <c r="N430" i="1"/>
  <c r="N442" i="1"/>
  <c r="N454" i="1"/>
  <c r="N466" i="1"/>
  <c r="H110" i="1"/>
  <c r="H122" i="1"/>
  <c r="H134" i="1"/>
  <c r="H146" i="1"/>
  <c r="H158" i="1"/>
  <c r="H170" i="1"/>
  <c r="H182" i="1"/>
  <c r="H194" i="1"/>
  <c r="H206" i="1"/>
  <c r="H218" i="1"/>
  <c r="H230" i="1"/>
  <c r="H242" i="1"/>
  <c r="H254" i="1"/>
  <c r="H266" i="1"/>
  <c r="H278" i="1"/>
  <c r="H290" i="1"/>
  <c r="H302" i="1"/>
  <c r="H314" i="1"/>
  <c r="H326" i="1"/>
  <c r="H338" i="1"/>
  <c r="H350" i="1"/>
  <c r="H362" i="1"/>
  <c r="H374" i="1"/>
  <c r="H386" i="1"/>
  <c r="H398" i="1"/>
  <c r="H410" i="1"/>
  <c r="H422" i="1"/>
  <c r="H434" i="1"/>
  <c r="H446" i="1"/>
  <c r="H458" i="1"/>
  <c r="H470" i="1"/>
  <c r="H32" i="1"/>
  <c r="H44" i="1"/>
  <c r="H56" i="1"/>
  <c r="H68" i="1"/>
  <c r="H80" i="1"/>
  <c r="H92" i="1"/>
  <c r="H24" i="1"/>
  <c r="H303" i="1"/>
  <c r="H315" i="1"/>
  <c r="H327" i="1"/>
  <c r="H339" i="1"/>
  <c r="H351" i="1"/>
  <c r="H363" i="1"/>
  <c r="H375" i="1"/>
  <c r="H387" i="1"/>
  <c r="N23" i="1"/>
  <c r="N35" i="1"/>
  <c r="N47" i="1"/>
  <c r="N59" i="1"/>
  <c r="N71" i="1"/>
  <c r="N83" i="1"/>
  <c r="N95" i="1"/>
  <c r="N107" i="1"/>
  <c r="N119" i="1"/>
  <c r="N131" i="1"/>
  <c r="N143" i="1"/>
  <c r="N155" i="1"/>
  <c r="N167" i="1"/>
  <c r="N179" i="1"/>
  <c r="N191" i="1"/>
  <c r="N203" i="1"/>
  <c r="N215" i="1"/>
  <c r="N227" i="1"/>
  <c r="N239" i="1"/>
  <c r="N251" i="1"/>
  <c r="N263" i="1"/>
  <c r="N275" i="1"/>
  <c r="N287" i="1"/>
  <c r="N299" i="1"/>
  <c r="N311" i="1"/>
  <c r="N323" i="1"/>
  <c r="N335" i="1"/>
  <c r="N347" i="1"/>
  <c r="N359" i="1"/>
  <c r="N371" i="1"/>
  <c r="N383" i="1"/>
  <c r="N395" i="1"/>
  <c r="N407" i="1"/>
  <c r="N419" i="1"/>
  <c r="N431" i="1"/>
  <c r="N443" i="1"/>
  <c r="N455" i="1"/>
  <c r="N467" i="1"/>
  <c r="H99" i="1"/>
  <c r="H111" i="1"/>
  <c r="H123" i="1"/>
  <c r="H135" i="1"/>
  <c r="H147" i="1"/>
  <c r="H159" i="1"/>
  <c r="H171" i="1"/>
  <c r="H183" i="1"/>
  <c r="H195" i="1"/>
  <c r="H207" i="1"/>
  <c r="H219" i="1"/>
  <c r="H231" i="1"/>
  <c r="H243" i="1"/>
  <c r="H255" i="1"/>
  <c r="H267" i="1"/>
  <c r="H279" i="1"/>
  <c r="H291" i="1"/>
  <c r="N24" i="1"/>
  <c r="N36" i="1"/>
  <c r="N48" i="1"/>
  <c r="N60" i="1"/>
  <c r="N72" i="1"/>
  <c r="N84" i="1"/>
  <c r="N96" i="1"/>
  <c r="N108" i="1"/>
  <c r="N120" i="1"/>
  <c r="N132" i="1"/>
  <c r="N144" i="1"/>
  <c r="N156" i="1"/>
  <c r="N168" i="1"/>
  <c r="N180" i="1"/>
  <c r="N192" i="1"/>
  <c r="N204" i="1"/>
  <c r="N216" i="1"/>
  <c r="N228" i="1"/>
  <c r="N240" i="1"/>
  <c r="N252" i="1"/>
  <c r="N264" i="1"/>
  <c r="N276" i="1"/>
  <c r="N288" i="1"/>
  <c r="N300" i="1"/>
  <c r="N312" i="1"/>
  <c r="N324" i="1"/>
  <c r="N336" i="1"/>
  <c r="N348" i="1"/>
  <c r="N360" i="1"/>
  <c r="N372" i="1"/>
  <c r="N384" i="1"/>
  <c r="N396" i="1"/>
  <c r="N408" i="1"/>
  <c r="N420" i="1"/>
  <c r="N432" i="1"/>
  <c r="N444" i="1"/>
  <c r="N456" i="1"/>
  <c r="N468" i="1"/>
  <c r="H100" i="1"/>
  <c r="H112" i="1"/>
  <c r="H124" i="1"/>
  <c r="H136" i="1"/>
  <c r="H148" i="1"/>
  <c r="H160" i="1"/>
  <c r="H172" i="1"/>
  <c r="H184" i="1"/>
  <c r="H196" i="1"/>
  <c r="H208" i="1"/>
  <c r="H220" i="1"/>
  <c r="H232" i="1"/>
  <c r="H244" i="1"/>
  <c r="H256" i="1"/>
  <c r="H268" i="1"/>
  <c r="H280" i="1"/>
  <c r="H292" i="1"/>
  <c r="H304" i="1"/>
  <c r="H316" i="1"/>
  <c r="H328" i="1"/>
  <c r="H340" i="1"/>
  <c r="H352" i="1"/>
  <c r="H364" i="1"/>
  <c r="H376" i="1"/>
  <c r="H388" i="1"/>
  <c r="H400" i="1"/>
  <c r="H412" i="1"/>
  <c r="H424" i="1"/>
  <c r="H436" i="1"/>
  <c r="H448" i="1"/>
  <c r="H460" i="1"/>
  <c r="H472" i="1"/>
  <c r="H34" i="1"/>
  <c r="H46" i="1"/>
  <c r="H58" i="1"/>
  <c r="H70" i="1"/>
  <c r="H82" i="1"/>
  <c r="H94" i="1"/>
  <c r="H26" i="1"/>
  <c r="N26" i="1"/>
  <c r="N38" i="1"/>
  <c r="N50" i="1"/>
  <c r="N62" i="1"/>
  <c r="N74" i="1"/>
  <c r="N86" i="1"/>
  <c r="N110" i="1"/>
  <c r="N134" i="1"/>
  <c r="N25" i="1"/>
  <c r="N37" i="1"/>
  <c r="N49" i="1"/>
  <c r="N61" i="1"/>
  <c r="N73" i="1"/>
  <c r="N85" i="1"/>
  <c r="N97" i="1"/>
  <c r="N109" i="1"/>
  <c r="N121" i="1"/>
  <c r="N133" i="1"/>
  <c r="N145" i="1"/>
  <c r="N157" i="1"/>
  <c r="N169" i="1"/>
  <c r="N181" i="1"/>
  <c r="N193" i="1"/>
  <c r="N205" i="1"/>
  <c r="N217" i="1"/>
  <c r="N229" i="1"/>
  <c r="N241" i="1"/>
  <c r="N253" i="1"/>
  <c r="N265" i="1"/>
  <c r="N277" i="1"/>
  <c r="N289" i="1"/>
  <c r="N301" i="1"/>
  <c r="N313" i="1"/>
  <c r="N325" i="1"/>
  <c r="N337" i="1"/>
  <c r="N349" i="1"/>
  <c r="N361" i="1"/>
  <c r="N373" i="1"/>
  <c r="N385" i="1"/>
  <c r="N397" i="1"/>
  <c r="N409" i="1"/>
  <c r="N421" i="1"/>
  <c r="N433" i="1"/>
  <c r="N445" i="1"/>
  <c r="N457" i="1"/>
  <c r="N469" i="1"/>
  <c r="H101" i="1"/>
  <c r="H113" i="1"/>
  <c r="H125" i="1"/>
  <c r="H137" i="1"/>
  <c r="H149" i="1"/>
  <c r="H161" i="1"/>
  <c r="H173" i="1"/>
  <c r="H185" i="1"/>
  <c r="H197" i="1"/>
  <c r="H209" i="1"/>
  <c r="H221" i="1"/>
  <c r="H233" i="1"/>
  <c r="H245" i="1"/>
  <c r="H257" i="1"/>
  <c r="H269" i="1"/>
  <c r="H281" i="1"/>
  <c r="H293" i="1"/>
  <c r="H305" i="1"/>
  <c r="H317" i="1"/>
  <c r="H329" i="1"/>
  <c r="H341" i="1"/>
  <c r="H353" i="1"/>
  <c r="H365" i="1"/>
  <c r="H377" i="1"/>
  <c r="H389" i="1"/>
  <c r="H401" i="1"/>
  <c r="H413" i="1"/>
  <c r="H425" i="1"/>
  <c r="H437" i="1"/>
  <c r="H449" i="1"/>
  <c r="H461" i="1"/>
  <c r="H473" i="1"/>
  <c r="H35" i="1"/>
  <c r="H47" i="1"/>
  <c r="H59" i="1"/>
  <c r="H71" i="1"/>
  <c r="H83" i="1"/>
  <c r="H95" i="1"/>
  <c r="H27" i="1"/>
  <c r="N122" i="1"/>
  <c r="N30" i="1"/>
  <c r="N42" i="1"/>
  <c r="N54" i="1"/>
  <c r="N66" i="1"/>
  <c r="N78" i="1"/>
  <c r="N90" i="1"/>
  <c r="N102" i="1"/>
  <c r="N114" i="1"/>
  <c r="N126" i="1"/>
  <c r="N138" i="1"/>
  <c r="N150" i="1"/>
  <c r="N162" i="1"/>
  <c r="N174" i="1"/>
  <c r="N186" i="1"/>
  <c r="N198" i="1"/>
  <c r="N210" i="1"/>
  <c r="N222" i="1"/>
  <c r="N234" i="1"/>
  <c r="N246" i="1"/>
  <c r="N258" i="1"/>
  <c r="N270" i="1"/>
  <c r="N282" i="1"/>
  <c r="N294" i="1"/>
  <c r="N306" i="1"/>
  <c r="N318" i="1"/>
  <c r="N330" i="1"/>
  <c r="N342" i="1"/>
  <c r="N354" i="1"/>
  <c r="N366" i="1"/>
  <c r="N378" i="1"/>
  <c r="N390" i="1"/>
  <c r="N402" i="1"/>
  <c r="N414" i="1"/>
  <c r="N426" i="1"/>
  <c r="N438" i="1"/>
  <c r="N450" i="1"/>
  <c r="N462" i="1"/>
  <c r="N474" i="1"/>
  <c r="H106" i="1"/>
  <c r="H118" i="1"/>
  <c r="H130" i="1"/>
  <c r="H142" i="1"/>
  <c r="H154" i="1"/>
  <c r="H166" i="1"/>
  <c r="H178" i="1"/>
  <c r="H190" i="1"/>
  <c r="H202" i="1"/>
  <c r="H214" i="1"/>
  <c r="H226" i="1"/>
  <c r="H238" i="1"/>
  <c r="H250" i="1"/>
  <c r="H262" i="1"/>
  <c r="H274" i="1"/>
  <c r="H286" i="1"/>
  <c r="H298" i="1"/>
  <c r="H310" i="1"/>
  <c r="H322" i="1"/>
  <c r="H334" i="1"/>
  <c r="H346" i="1"/>
  <c r="H358" i="1"/>
  <c r="H370" i="1"/>
  <c r="H382" i="1"/>
  <c r="H394" i="1"/>
  <c r="H406" i="1"/>
  <c r="H418" i="1"/>
  <c r="H430" i="1"/>
  <c r="H442" i="1"/>
  <c r="H454" i="1"/>
  <c r="H466" i="1"/>
  <c r="H28" i="1"/>
  <c r="H40" i="1"/>
  <c r="H52" i="1"/>
  <c r="H64" i="1"/>
  <c r="H76" i="1"/>
  <c r="H88" i="1"/>
  <c r="H20" i="1"/>
  <c r="N31" i="1"/>
  <c r="N43" i="1"/>
  <c r="N55" i="1"/>
  <c r="N67" i="1"/>
  <c r="N79" i="1"/>
  <c r="N91" i="1"/>
  <c r="N103" i="1"/>
  <c r="N115" i="1"/>
  <c r="N27" i="1"/>
  <c r="N63" i="1"/>
  <c r="N98" i="1"/>
  <c r="N127" i="1"/>
  <c r="N152" i="1"/>
  <c r="N176" i="1"/>
  <c r="N200" i="1"/>
  <c r="N224" i="1"/>
  <c r="N248" i="1"/>
  <c r="N272" i="1"/>
  <c r="N296" i="1"/>
  <c r="N320" i="1"/>
  <c r="N344" i="1"/>
  <c r="N368" i="1"/>
  <c r="N392" i="1"/>
  <c r="N416" i="1"/>
  <c r="N440" i="1"/>
  <c r="N464" i="1"/>
  <c r="H107" i="1"/>
  <c r="H131" i="1"/>
  <c r="H155" i="1"/>
  <c r="H179" i="1"/>
  <c r="H203" i="1"/>
  <c r="H227" i="1"/>
  <c r="H251" i="1"/>
  <c r="H275" i="1"/>
  <c r="H299" i="1"/>
  <c r="H323" i="1"/>
  <c r="H347" i="1"/>
  <c r="H371" i="1"/>
  <c r="H395" i="1"/>
  <c r="H416" i="1"/>
  <c r="H438" i="1"/>
  <c r="H456" i="1"/>
  <c r="H477" i="1"/>
  <c r="H49" i="1"/>
  <c r="H69" i="1"/>
  <c r="H89" i="1"/>
  <c r="N283" i="1"/>
  <c r="H213" i="1"/>
  <c r="H333" i="1"/>
  <c r="H444" i="1"/>
  <c r="H98" i="1"/>
  <c r="N77" i="1"/>
  <c r="N212" i="1"/>
  <c r="N284" i="1"/>
  <c r="N380" i="1"/>
  <c r="N476" i="1"/>
  <c r="H167" i="1"/>
  <c r="H335" i="1"/>
  <c r="H427" i="1"/>
  <c r="N113" i="1"/>
  <c r="N242" i="1"/>
  <c r="N338" i="1"/>
  <c r="N458" i="1"/>
  <c r="H144" i="1"/>
  <c r="H336" i="1"/>
  <c r="H21" i="1"/>
  <c r="N87" i="1"/>
  <c r="N171" i="1"/>
  <c r="N28" i="1"/>
  <c r="N64" i="1"/>
  <c r="N99" i="1"/>
  <c r="N128" i="1"/>
  <c r="N158" i="1"/>
  <c r="N182" i="1"/>
  <c r="N206" i="1"/>
  <c r="N230" i="1"/>
  <c r="N254" i="1"/>
  <c r="N278" i="1"/>
  <c r="N302" i="1"/>
  <c r="N326" i="1"/>
  <c r="N350" i="1"/>
  <c r="N374" i="1"/>
  <c r="N398" i="1"/>
  <c r="N422" i="1"/>
  <c r="N446" i="1"/>
  <c r="N470" i="1"/>
  <c r="H108" i="1"/>
  <c r="H132" i="1"/>
  <c r="H156" i="1"/>
  <c r="H180" i="1"/>
  <c r="H204" i="1"/>
  <c r="H228" i="1"/>
  <c r="H252" i="1"/>
  <c r="H276" i="1"/>
  <c r="H300" i="1"/>
  <c r="H324" i="1"/>
  <c r="H348" i="1"/>
  <c r="H372" i="1"/>
  <c r="H396" i="1"/>
  <c r="H417" i="1"/>
  <c r="H439" i="1"/>
  <c r="H459" i="1"/>
  <c r="H29" i="1"/>
  <c r="H50" i="1"/>
  <c r="H72" i="1"/>
  <c r="H90" i="1"/>
  <c r="N111" i="1"/>
  <c r="N235" i="1"/>
  <c r="N355" i="1"/>
  <c r="N451" i="1"/>
  <c r="H117" i="1"/>
  <c r="H237" i="1"/>
  <c r="H309" i="1"/>
  <c r="H426" i="1"/>
  <c r="H77" i="1"/>
  <c r="N41" i="1"/>
  <c r="H191" i="1"/>
  <c r="H359" i="1"/>
  <c r="H447" i="1"/>
  <c r="H60" i="1"/>
  <c r="H19" i="1"/>
  <c r="N170" i="1"/>
  <c r="N314" i="1"/>
  <c r="N434" i="1"/>
  <c r="H192" i="1"/>
  <c r="H288" i="1"/>
  <c r="H407" i="1"/>
  <c r="H450" i="1"/>
  <c r="H61" i="1"/>
  <c r="N51" i="1"/>
  <c r="N116" i="1"/>
  <c r="N147" i="1"/>
  <c r="N195" i="1"/>
  <c r="N29" i="1"/>
  <c r="N65" i="1"/>
  <c r="N100" i="1"/>
  <c r="N135" i="1"/>
  <c r="N159" i="1"/>
  <c r="N183" i="1"/>
  <c r="N207" i="1"/>
  <c r="N231" i="1"/>
  <c r="N255" i="1"/>
  <c r="N279" i="1"/>
  <c r="N303" i="1"/>
  <c r="N327" i="1"/>
  <c r="N351" i="1"/>
  <c r="N375" i="1"/>
  <c r="N399" i="1"/>
  <c r="N423" i="1"/>
  <c r="N447" i="1"/>
  <c r="N471" i="1"/>
  <c r="H114" i="1"/>
  <c r="H138" i="1"/>
  <c r="H162" i="1"/>
  <c r="H186" i="1"/>
  <c r="H210" i="1"/>
  <c r="H234" i="1"/>
  <c r="H258" i="1"/>
  <c r="H282" i="1"/>
  <c r="H306" i="1"/>
  <c r="H330" i="1"/>
  <c r="H354" i="1"/>
  <c r="H378" i="1"/>
  <c r="H399" i="1"/>
  <c r="H419" i="1"/>
  <c r="H440" i="1"/>
  <c r="H462" i="1"/>
  <c r="H30" i="1"/>
  <c r="H51" i="1"/>
  <c r="H73" i="1"/>
  <c r="H93" i="1"/>
  <c r="N40" i="1"/>
  <c r="N163" i="1"/>
  <c r="N187" i="1"/>
  <c r="N259" i="1"/>
  <c r="N331" i="1"/>
  <c r="N403" i="1"/>
  <c r="H189" i="1"/>
  <c r="H261" i="1"/>
  <c r="H381" i="1"/>
  <c r="H57" i="1"/>
  <c r="N112" i="1"/>
  <c r="N188" i="1"/>
  <c r="N260" i="1"/>
  <c r="N356" i="1"/>
  <c r="N452" i="1"/>
  <c r="H143" i="1"/>
  <c r="H263" i="1"/>
  <c r="H311" i="1"/>
  <c r="H383" i="1"/>
  <c r="H38" i="1"/>
  <c r="H78" i="1"/>
  <c r="N44" i="1"/>
  <c r="N194" i="1"/>
  <c r="N290" i="1"/>
  <c r="N410" i="1"/>
  <c r="H168" i="1"/>
  <c r="H264" i="1"/>
  <c r="H384" i="1"/>
  <c r="H81" i="1"/>
  <c r="N32" i="1"/>
  <c r="N68" i="1"/>
  <c r="N101" i="1"/>
  <c r="N136" i="1"/>
  <c r="N160" i="1"/>
  <c r="N184" i="1"/>
  <c r="N208" i="1"/>
  <c r="N232" i="1"/>
  <c r="N256" i="1"/>
  <c r="N280" i="1"/>
  <c r="N304" i="1"/>
  <c r="N328" i="1"/>
  <c r="N352" i="1"/>
  <c r="N376" i="1"/>
  <c r="N400" i="1"/>
  <c r="N424" i="1"/>
  <c r="N448" i="1"/>
  <c r="N472" i="1"/>
  <c r="H115" i="1"/>
  <c r="H139" i="1"/>
  <c r="H163" i="1"/>
  <c r="H187" i="1"/>
  <c r="H211" i="1"/>
  <c r="H235" i="1"/>
  <c r="H259" i="1"/>
  <c r="H283" i="1"/>
  <c r="H307" i="1"/>
  <c r="H331" i="1"/>
  <c r="H355" i="1"/>
  <c r="H379" i="1"/>
  <c r="H402" i="1"/>
  <c r="H420" i="1"/>
  <c r="H441" i="1"/>
  <c r="H463" i="1"/>
  <c r="H33" i="1"/>
  <c r="H53" i="1"/>
  <c r="H74" i="1"/>
  <c r="H96" i="1"/>
  <c r="N139" i="1"/>
  <c r="N307" i="1"/>
  <c r="N427" i="1"/>
  <c r="H165" i="1"/>
  <c r="H357" i="1"/>
  <c r="H465" i="1"/>
  <c r="N140" i="1"/>
  <c r="N308" i="1"/>
  <c r="N404" i="1"/>
  <c r="H239" i="1"/>
  <c r="H467" i="1"/>
  <c r="N146" i="1"/>
  <c r="N266" i="1"/>
  <c r="N362" i="1"/>
  <c r="H120" i="1"/>
  <c r="H240" i="1"/>
  <c r="H360" i="1"/>
  <c r="H39" i="1"/>
  <c r="N39" i="1"/>
  <c r="N75" i="1"/>
  <c r="N104" i="1"/>
  <c r="N137" i="1"/>
  <c r="N161" i="1"/>
  <c r="N185" i="1"/>
  <c r="N209" i="1"/>
  <c r="N233" i="1"/>
  <c r="N257" i="1"/>
  <c r="N281" i="1"/>
  <c r="N305" i="1"/>
  <c r="N329" i="1"/>
  <c r="N353" i="1"/>
  <c r="N377" i="1"/>
  <c r="N401" i="1"/>
  <c r="N425" i="1"/>
  <c r="N449" i="1"/>
  <c r="N473" i="1"/>
  <c r="H116" i="1"/>
  <c r="H140" i="1"/>
  <c r="H164" i="1"/>
  <c r="H188" i="1"/>
  <c r="H212" i="1"/>
  <c r="H236" i="1"/>
  <c r="H260" i="1"/>
  <c r="H284" i="1"/>
  <c r="H308" i="1"/>
  <c r="H332" i="1"/>
  <c r="H356" i="1"/>
  <c r="H380" i="1"/>
  <c r="H403" i="1"/>
  <c r="H423" i="1"/>
  <c r="H443" i="1"/>
  <c r="H464" i="1"/>
  <c r="H36" i="1"/>
  <c r="H54" i="1"/>
  <c r="H75" i="1"/>
  <c r="H97" i="1"/>
  <c r="N76" i="1"/>
  <c r="N211" i="1"/>
  <c r="N379" i="1"/>
  <c r="N475" i="1"/>
  <c r="H141" i="1"/>
  <c r="H285" i="1"/>
  <c r="H404" i="1"/>
  <c r="H37" i="1"/>
  <c r="N164" i="1"/>
  <c r="N236" i="1"/>
  <c r="N332" i="1"/>
  <c r="N428" i="1"/>
  <c r="H119" i="1"/>
  <c r="H215" i="1"/>
  <c r="H287" i="1"/>
  <c r="H405" i="1"/>
  <c r="N80" i="1"/>
  <c r="N218" i="1"/>
  <c r="N386" i="1"/>
  <c r="H216" i="1"/>
  <c r="H312" i="1"/>
  <c r="H428" i="1"/>
  <c r="H468" i="1"/>
  <c r="N52" i="1"/>
  <c r="N88" i="1"/>
  <c r="N123" i="1"/>
  <c r="N148" i="1"/>
  <c r="N172" i="1"/>
  <c r="N196" i="1"/>
  <c r="N220" i="1"/>
  <c r="N244" i="1"/>
  <c r="N268" i="1"/>
  <c r="N292" i="1"/>
  <c r="N316" i="1"/>
  <c r="N340" i="1"/>
  <c r="N364" i="1"/>
  <c r="N388" i="1"/>
  <c r="N412" i="1"/>
  <c r="N436" i="1"/>
  <c r="N460" i="1"/>
  <c r="H103" i="1"/>
  <c r="H127" i="1"/>
  <c r="H151" i="1"/>
  <c r="H175" i="1"/>
  <c r="H199" i="1"/>
  <c r="H223" i="1"/>
  <c r="H247" i="1"/>
  <c r="H271" i="1"/>
  <c r="H295" i="1"/>
  <c r="H319" i="1"/>
  <c r="H343" i="1"/>
  <c r="H367" i="1"/>
  <c r="H391" i="1"/>
  <c r="H411" i="1"/>
  <c r="H431" i="1"/>
  <c r="H452" i="1"/>
  <c r="H474" i="1"/>
  <c r="H42" i="1"/>
  <c r="H63" i="1"/>
  <c r="H85" i="1"/>
  <c r="H25" i="1"/>
  <c r="N53" i="1"/>
  <c r="N89" i="1"/>
  <c r="N124" i="1"/>
  <c r="N149" i="1"/>
  <c r="N173" i="1"/>
  <c r="N197" i="1"/>
  <c r="N221" i="1"/>
  <c r="N245" i="1"/>
  <c r="N269" i="1"/>
  <c r="N293" i="1"/>
  <c r="N317" i="1"/>
  <c r="N341" i="1"/>
  <c r="N365" i="1"/>
  <c r="N389" i="1"/>
  <c r="N413" i="1"/>
  <c r="N437" i="1"/>
  <c r="N461" i="1"/>
  <c r="H104" i="1"/>
  <c r="H128" i="1"/>
  <c r="H152" i="1"/>
  <c r="H176" i="1"/>
  <c r="H200" i="1"/>
  <c r="H224" i="1"/>
  <c r="H248" i="1"/>
  <c r="H272" i="1"/>
  <c r="H296" i="1"/>
  <c r="H320" i="1"/>
  <c r="H344" i="1"/>
  <c r="H368" i="1"/>
  <c r="H392" i="1"/>
  <c r="H414" i="1"/>
  <c r="H432" i="1"/>
  <c r="H453" i="1"/>
  <c r="H475" i="1"/>
  <c r="H45" i="1"/>
  <c r="H65" i="1"/>
  <c r="H86" i="1"/>
  <c r="N56" i="1"/>
  <c r="N92" i="1"/>
  <c r="N125" i="1"/>
  <c r="N151" i="1"/>
  <c r="N175" i="1"/>
  <c r="N199" i="1"/>
  <c r="N223" i="1"/>
  <c r="N247" i="1"/>
  <c r="N271" i="1"/>
  <c r="N295" i="1"/>
  <c r="H84" i="1"/>
  <c r="H408" i="1"/>
  <c r="H270" i="1"/>
  <c r="H126" i="1"/>
  <c r="N367" i="1"/>
  <c r="H471" i="1"/>
  <c r="H342" i="1"/>
  <c r="H198" i="1"/>
  <c r="N439" i="1"/>
  <c r="N291" i="1"/>
  <c r="H455" i="1"/>
  <c r="H321" i="1"/>
  <c r="H177" i="1"/>
  <c r="N435" i="1"/>
  <c r="N267" i="1"/>
  <c r="H451" i="1"/>
  <c r="H318" i="1"/>
  <c r="H174" i="1"/>
  <c r="N415" i="1"/>
  <c r="N243" i="1"/>
  <c r="H435" i="1"/>
  <c r="H297" i="1"/>
  <c r="H153" i="1"/>
  <c r="N411" i="1"/>
  <c r="N219" i="1"/>
  <c r="E25" i="2"/>
  <c r="G17" i="1"/>
  <c r="D15" i="2"/>
  <c r="G16" i="1"/>
  <c r="E39" i="2"/>
  <c r="G13" i="1"/>
  <c r="G15" i="1"/>
  <c r="G14" i="1"/>
  <c r="G6" i="1"/>
  <c r="G5" i="1"/>
  <c r="E22" i="2"/>
  <c r="G4" i="1"/>
  <c r="G10" i="1"/>
  <c r="G11" i="1"/>
  <c r="E34" i="2"/>
  <c r="D22" i="2"/>
  <c r="G3" i="1"/>
  <c r="G9" i="1"/>
  <c r="G8" i="1"/>
  <c r="G12" i="1"/>
  <c r="E21" i="2"/>
  <c r="E33" i="2"/>
  <c r="E16" i="2"/>
  <c r="G19" i="1"/>
  <c r="G7" i="1"/>
  <c r="E28" i="2"/>
  <c r="G18" i="1"/>
  <c r="N12" i="1"/>
  <c r="N13" i="1"/>
  <c r="N11" i="1"/>
  <c r="N10" i="1"/>
  <c r="N14" i="1"/>
  <c r="N9" i="1"/>
  <c r="N20" i="1"/>
  <c r="N8" i="1"/>
  <c r="N18" i="1"/>
  <c r="N17" i="1"/>
  <c r="N16" i="1"/>
  <c r="N15" i="1"/>
  <c r="N19" i="1"/>
  <c r="H17" i="1"/>
  <c r="H18" i="1"/>
  <c r="H10" i="1"/>
  <c r="H11" i="1"/>
  <c r="H12" i="1"/>
  <c r="H13" i="1"/>
  <c r="H15" i="1"/>
  <c r="H16" i="1"/>
  <c r="H9" i="1"/>
  <c r="H14" i="1"/>
  <c r="E32" i="2"/>
  <c r="E20" i="2"/>
  <c r="E9" i="2"/>
  <c r="E31" i="2"/>
  <c r="E19" i="2"/>
  <c r="E8" i="2"/>
  <c r="E36" i="2"/>
  <c r="E30" i="2"/>
  <c r="E24" i="2"/>
  <c r="E18" i="2"/>
  <c r="E13" i="2"/>
  <c r="E7" i="2"/>
  <c r="E35" i="2"/>
  <c r="E29" i="2"/>
  <c r="E23" i="2"/>
  <c r="E17" i="2"/>
  <c r="E12" i="2"/>
  <c r="E6" i="2"/>
  <c r="N4" i="1"/>
  <c r="N5" i="1"/>
  <c r="N6" i="1"/>
  <c r="N2" i="1"/>
  <c r="N3" i="1"/>
  <c r="H8" i="1"/>
  <c r="H7" i="1"/>
  <c r="H3" i="1"/>
  <c r="H4" i="1"/>
  <c r="H5" i="1"/>
  <c r="H6" i="1"/>
  <c r="H2"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Karen Santamaria Oyola</author>
    <author>tc={E93F5974-FBE3-47F0-BED7-81A60DE3A788}</author>
  </authors>
  <commentList>
    <comment ref="F52" authorId="0" shapeId="0" xr:uid="{0A991656-1EA2-4515-BDA3-0D3FD88F35FE}">
      <text>
        <r>
          <rPr>
            <sz val="11"/>
            <color theme="1"/>
            <rFont val="Aptos Narrow"/>
            <family val="2"/>
            <scheme val="minor"/>
          </rPr>
          <t xml:space="preserve">Grabador actual ya estaba instalado solo se realizo configuracion analitica 
</t>
        </r>
      </text>
    </comment>
    <comment ref="E58" authorId="0" shapeId="0" xr:uid="{C2A09169-33C6-42E8-87A3-1C8E3A45B204}">
      <text>
        <r>
          <rPr>
            <sz val="11"/>
            <color theme="1"/>
            <rFont val="Aptos Narrow"/>
            <family val="2"/>
            <scheme val="minor"/>
          </rPr>
          <t xml:space="preserve">PROBLEMA DE BRAZO EN CAMARAS 
</t>
        </r>
      </text>
    </comment>
    <comment ref="G98" authorId="1" shapeId="0" xr:uid="{E93F5974-FBE3-47F0-BED7-81A60DE3A78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camara en consola por lo que igual llevan una camara en caso de utilizarse</t>
      </text>
    </comment>
    <comment ref="H106" authorId="0" shapeId="0" xr:uid="{92575F2C-B6D4-445D-BE70-30D76D0A72D3}">
      <text>
        <r>
          <rPr>
            <sz val="11"/>
            <color theme="1"/>
            <rFont val="Aptos Narrow"/>
            <family val="2"/>
            <scheme val="minor"/>
          </rPr>
          <t>LAS CAMARAS TIENEN BRAZO</t>
        </r>
      </text>
    </comment>
    <comment ref="F121" authorId="0" shapeId="0" xr:uid="{83FFDBD4-5075-46B6-847A-A99A481947D3}">
      <text>
        <r>
          <rPr>
            <sz val="11"/>
            <color theme="1"/>
            <rFont val="Aptos Narrow"/>
            <family val="2"/>
            <scheme val="minor"/>
          </rPr>
          <t xml:space="preserve">Grabador actual ya estaba instalado solo se realizo configuracion analitica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<sst xmlns="http://schemas.openxmlformats.org/spreadsheetml/2006/main" count="2860" uniqueCount="678">
  <si>
    <t>✔ Actividad de varios días</t>
  </si>
  <si>
    <t>✔ Cambio de técnico de un día a otro</t>
  </si>
  <si>
    <t>✔ Trabajo en grupo</t>
  </si>
  <si>
    <t>✔ Saber quién estuvo cada día</t>
  </si>
  <si>
    <t>¿QUÉ PASA SI UNA ACTIVIDAD DURA VARIOS DÍAS?</t>
  </si>
  <si>
    <t>Se mantiene una sola OT</t>
  </si>
  <si>
    <t>Se repite la asignación diaria</t>
  </si>
  <si>
    <t>No se rompe nada.</t>
  </si>
  <si>
    <t>CASO 1: Técnico con día libre</t>
  </si>
  <si>
    <t>Simple:</t>
  </si>
  <si>
    <t>No tiene registro en Asignación.</t>
  </si>
  <si>
    <t>Y en tabla Disponibilidad aparece como "Día Libre".</t>
  </si>
  <si>
    <t>🔹 CASO 2: Actividad de más de un día</t>
  </si>
  <si>
    <t>En tabla Ordenes:</t>
  </si>
  <si>
    <t>Fecha Inicio = 03/02</t>
  </si>
  <si>
    <t>Fecha Fin = 05/02</t>
  </si>
  <si>
    <t>En tabla Asignación:</t>
  </si>
  <si>
    <t>03/02 → Técnicos A y B</t>
  </si>
  <si>
    <t>04/02 → Técnicos A y C</t>
  </si>
  <si>
    <t>05/02 → Técnico C</t>
  </si>
  <si>
    <t>Totalmente modular.</t>
  </si>
  <si>
    <t>🔹 CASO 3: Cambia el equipo al día siguiente</t>
  </si>
  <si>
    <t>No tocas la Orden.</t>
  </si>
  <si>
    <t>Solo agregas nueva fila en tabla Asignación para el nuevo día.</t>
  </si>
  <si>
    <t>Eso es diseño profesional.</t>
  </si>
  <si>
    <t>🔹 CASO 4: Trabajo nocturno</t>
  </si>
  <si>
    <t>No importa.</t>
  </si>
  <si>
    <t>Horas se calculan por fecha y hora real.</t>
  </si>
  <si>
    <t>Si pasa medianoche se puede manejar con formato datetime.</t>
  </si>
  <si>
    <t>Esta tabla te responde:</t>
  </si>
  <si>
    <t>✔ Horas reales trabajadas</t>
  </si>
  <si>
    <t>✔ Horas facturables</t>
  </si>
  <si>
    <t>✔ Productividad</t>
  </si>
  <si>
    <t>✔ Costo técnico</t>
  </si>
  <si>
    <t>¿Actividad de más de un día?</t>
  </si>
  <si>
    <t>No se complica.</t>
  </si>
  <si>
    <t>La OT es una sola (en Tabla 1).</t>
  </si>
  <si>
    <t>Pero en Tabla 2 y 3 se repite por cada día trabajado.</t>
  </si>
  <si>
    <t>Ejemplo:</t>
  </si>
  <si>
    <t>OT-2026-010</t>
  </si>
  <si>
    <t>Duración: 3 días</t>
  </si>
  <si>
    <t>En tabla de asignación:</t>
  </si>
  <si>
    <t>| 01/03 | Bryan | OT-010 |</t>
  </si>
  <si>
    <t>| 02/03 | Bryan | OT-010 |</t>
  </si>
  <si>
    <t>| 03/03 | Kevin | OT-010 |</t>
  </si>
  <si>
    <t>Perfecto. No hay conflicto.</t>
  </si>
  <si>
    <t>🔹 ¿Si cambian técnicos al día siguiente?</t>
  </si>
  <si>
    <t>No pasa nada.</t>
  </si>
  <si>
    <t>Cada día es independiente en la tabla de asignación.</t>
  </si>
  <si>
    <t>Eso hace el sistema modular.</t>
  </si>
  <si>
    <t>Solo entran órdenes donde:</t>
  </si>
  <si>
    <t>Facturable = Sí</t>
  </si>
  <si>
    <t>Así puedes exportar esta tabla al área contable sin mostrar horas internas administrativas.</t>
  </si>
  <si>
    <t>Las horas facturables se deben sumar automáticamente desde hoja 3:</t>
  </si>
  <si>
    <t>Solo donde:</t>
  </si>
  <si>
    <t>ID_ORDEN = X</t>
  </si>
  <si>
    <t>Facturable = Sí (según hoja 1)</t>
  </si>
  <si>
    <t>trabajos para hoy</t>
  </si>
  <si>
    <t>fecha</t>
  </si>
  <si>
    <t>tecnicos</t>
  </si>
  <si>
    <t>orden</t>
  </si>
  <si>
    <t>estado</t>
  </si>
  <si>
    <t xml:space="preserve"> ID_ORDEN </t>
  </si>
  <si>
    <t xml:space="preserve"> Cliente </t>
  </si>
  <si>
    <t xml:space="preserve"> Local </t>
  </si>
  <si>
    <t xml:space="preserve"> Tipo </t>
  </si>
  <si>
    <t xml:space="preserve"> Fecha Inicio </t>
  </si>
  <si>
    <t xml:space="preserve"> Fecha Fin </t>
  </si>
  <si>
    <t xml:space="preserve"> Estado </t>
  </si>
  <si>
    <t xml:space="preserve"> Facturable </t>
  </si>
  <si>
    <t>DIAS cotizado</t>
  </si>
  <si>
    <t xml:space="preserve"> Prioridad </t>
  </si>
  <si>
    <t xml:space="preserve"> Descripción </t>
  </si>
  <si>
    <t>Resolucion</t>
  </si>
  <si>
    <t>Envidado a factura</t>
  </si>
  <si>
    <t xml:space="preserve"> OT-2026-001 </t>
  </si>
  <si>
    <t xml:space="preserve"> LN </t>
  </si>
  <si>
    <t xml:space="preserve"> PDSLL Terminal </t>
  </si>
  <si>
    <t>M.CORRECTIVO</t>
  </si>
  <si>
    <t xml:space="preserve"> 03/02/2026 </t>
  </si>
  <si>
    <t>instalacion de sistema de alarma</t>
  </si>
  <si>
    <t>quedo pendiente un panel</t>
  </si>
  <si>
    <t xml:space="preserve"> OT-2026-002</t>
  </si>
  <si>
    <t>dhl</t>
  </si>
  <si>
    <t>cuenca</t>
  </si>
  <si>
    <t>V.TECNICA</t>
  </si>
  <si>
    <t xml:space="preserve"> Alta </t>
  </si>
  <si>
    <t>finalizo la tarea</t>
  </si>
  <si>
    <t xml:space="preserve"> OT-2026-003</t>
  </si>
  <si>
    <t xml:space="preserve"> Instalación alarma </t>
  </si>
  <si>
    <t xml:space="preserve"> Pendiente panel </t>
  </si>
  <si>
    <t xml:space="preserve"> OT-2026-004</t>
  </si>
  <si>
    <t>LN</t>
  </si>
  <si>
    <t>guasmo</t>
  </si>
  <si>
    <t>MEDIA</t>
  </si>
  <si>
    <t>instalado</t>
  </si>
  <si>
    <t xml:space="preserve"> OT-2026-005</t>
  </si>
  <si>
    <t>PDSLL GUASMO SUR, GYE</t>
  </si>
  <si>
    <t xml:space="preserve"> OT-2026-006</t>
  </si>
  <si>
    <t xml:space="preserve"> OT-2026-007</t>
  </si>
  <si>
    <t xml:space="preserve"> OT-2026-008</t>
  </si>
  <si>
    <t>PDSLL AMBATO 1</t>
  </si>
  <si>
    <t xml:space="preserve"> OT-2026-009</t>
  </si>
  <si>
    <t xml:space="preserve"> OT-2026-010</t>
  </si>
  <si>
    <t xml:space="preserve"> OT-2026-011</t>
  </si>
  <si>
    <t xml:space="preserve"> OT-2026-012</t>
  </si>
  <si>
    <t xml:space="preserve"> OT-2026-013</t>
  </si>
  <si>
    <t xml:space="preserve"> OT-2026-014</t>
  </si>
  <si>
    <t xml:space="preserve"> OT-2026-015</t>
  </si>
  <si>
    <t xml:space="preserve"> Fecha </t>
  </si>
  <si>
    <t xml:space="preserve"> Técnico </t>
  </si>
  <si>
    <t>Cliente</t>
  </si>
  <si>
    <t>Local</t>
  </si>
  <si>
    <t>AÑO</t>
  </si>
  <si>
    <t>MES</t>
  </si>
  <si>
    <t>TECNICO</t>
  </si>
  <si>
    <t>DIA</t>
  </si>
  <si>
    <t>N°</t>
  </si>
  <si>
    <t>TURNO</t>
  </si>
  <si>
    <t>INGRESO</t>
  </si>
  <si>
    <t>HORA DE ALMUERZO</t>
  </si>
  <si>
    <t>SALIDA</t>
  </si>
  <si>
    <t>HORAS TRABAJADAS</t>
  </si>
  <si>
    <t>EXCEDENTE</t>
  </si>
  <si>
    <t>OBSERVACIONES</t>
  </si>
  <si>
    <t>ABRIL</t>
  </si>
  <si>
    <t>HERNAN SALAZAR</t>
  </si>
  <si>
    <t>MARTES</t>
  </si>
  <si>
    <t>ISLA PAÑORA DE BALA0</t>
  </si>
  <si>
    <t>MIÉRCOLES</t>
  </si>
  <si>
    <t>HOSPITAL ROBERTO GILBERTH</t>
  </si>
  <si>
    <t>JUEVES</t>
  </si>
  <si>
    <t>VIERNES</t>
  </si>
  <si>
    <t>SÁBADO</t>
  </si>
  <si>
    <t>DOMINGO</t>
  </si>
  <si>
    <t>LUNES</t>
  </si>
  <si>
    <t>-00:30:00</t>
  </si>
  <si>
    <t>-02:00:00</t>
  </si>
  <si>
    <t>-03:00:00</t>
  </si>
  <si>
    <t>CLIENTE</t>
  </si>
  <si>
    <t>LOCAL</t>
  </si>
  <si>
    <t>TIPO</t>
  </si>
  <si>
    <t xml:space="preserve"> Estado Facturación </t>
  </si>
  <si>
    <t xml:space="preserve"> Fecha Envío </t>
  </si>
  <si>
    <t>NO INICIADA</t>
  </si>
  <si>
    <t>PLANIFICADA</t>
  </si>
  <si>
    <t>PROCESO</t>
  </si>
  <si>
    <t>FINALIZADO</t>
  </si>
  <si>
    <t>DUEÑO OFI UIO</t>
  </si>
  <si>
    <t xml:space="preserve">PDSLL PORTOVIEJO, PTV  </t>
  </si>
  <si>
    <t>PDSLL HIPER JIPIJAPA, JPJ</t>
  </si>
  <si>
    <t>PDSLL JIPIJAPA, JPJ</t>
  </si>
  <si>
    <t>Oficina Quito</t>
  </si>
  <si>
    <t>PDSLL LA FLORIDA  UIO</t>
  </si>
  <si>
    <t>PDSLL VACA DE CASTRO</t>
  </si>
  <si>
    <t>PDSLL COTOCOLLAO, UIO</t>
  </si>
  <si>
    <t>PDSLL LATACUNGA EXPRESS,  LAT</t>
  </si>
  <si>
    <t>PDSLL AKI EL CONDOR,AMB, LOCAL 14</t>
  </si>
  <si>
    <t>PDSLL HUAQUILLAS</t>
  </si>
  <si>
    <t xml:space="preserve">PDSLL SANTA ROSA </t>
  </si>
  <si>
    <t>PDSLL EL ARENAL EXPRESS, CUE</t>
  </si>
  <si>
    <t xml:space="preserve"> OT-2026-016</t>
  </si>
  <si>
    <t xml:space="preserve"> OT-2026-017</t>
  </si>
  <si>
    <t xml:space="preserve"> OT-2026-018</t>
  </si>
  <si>
    <t>PROYECTO</t>
  </si>
  <si>
    <t>IMPLEMENTACIÓN DE REJA DE SEGURIDAD</t>
  </si>
  <si>
    <t>CAMBIO NVR + IMPLEMENTACIÓN DE REJA DE SEGURIDAD</t>
  </si>
  <si>
    <t>CAMBIO DE CABLE DE RED</t>
  </si>
  <si>
    <t>JOEL LOZANO
HERNAN SALZAR</t>
  </si>
  <si>
    <t>ENRIQUE RENDON
MARIO TUMBACO</t>
  </si>
  <si>
    <t>VICTOR CASPI</t>
  </si>
  <si>
    <t>PABLO PINO</t>
  </si>
  <si>
    <t>FRANK ESPINOZA</t>
  </si>
  <si>
    <t>BENJAMIN OMNITRON</t>
  </si>
  <si>
    <t>Resolución</t>
  </si>
  <si>
    <t>QUIFATEX</t>
  </si>
  <si>
    <t>PDSLL CC SHOPPING MINI PLUS PASAJE, PAS</t>
  </si>
  <si>
    <t>PDSLL MONTECRISTI  HYBRIDO, MTC</t>
  </si>
  <si>
    <t>PDSLL CHONE</t>
  </si>
  <si>
    <t>PDSLL CALCETA</t>
  </si>
  <si>
    <t>QUIFATEX UIO</t>
  </si>
  <si>
    <t xml:space="preserve">PDSLL PLAZA TEATRO  </t>
  </si>
  <si>
    <t>PDSLL PATATE</t>
  </si>
  <si>
    <t>PDSLL GUANO</t>
  </si>
  <si>
    <t>PDSLL GUAMOTE</t>
  </si>
  <si>
    <t>PDSLL AV DON BOSCO CUENCA</t>
  </si>
  <si>
    <t xml:space="preserve"> OT-2026-019</t>
  </si>
  <si>
    <t xml:space="preserve"> OT-2026-020</t>
  </si>
  <si>
    <t xml:space="preserve"> OT-2026-021</t>
  </si>
  <si>
    <t xml:space="preserve"> OT-2026-022</t>
  </si>
  <si>
    <t xml:space="preserve"> OT-2026-023</t>
  </si>
  <si>
    <t xml:space="preserve"> OT-2026-024</t>
  </si>
  <si>
    <t xml:space="preserve"> OT-2026-025</t>
  </si>
  <si>
    <t xml:space="preserve"> OT-2026-026</t>
  </si>
  <si>
    <t xml:space="preserve"> OT-2026-027</t>
  </si>
  <si>
    <t xml:space="preserve"> OT-2026-028</t>
  </si>
  <si>
    <t>PDSLL MANUEL ESPINOZA, UIO</t>
  </si>
  <si>
    <t xml:space="preserve">PDSLL RIO COCA </t>
  </si>
  <si>
    <t>PDSLL MACHALA, MCH</t>
  </si>
  <si>
    <t>PDSLL T. TERRESTRE MACHALA, MCH PB #2  BLOQUE 2</t>
  </si>
  <si>
    <t>PDSLL AKI GUARANDA</t>
  </si>
  <si>
    <t>PDSLL SAN MIGUEL DE BOLIVAR</t>
  </si>
  <si>
    <t>PDSLL LOJA</t>
  </si>
  <si>
    <t>PDSLL VALLE LOJA</t>
  </si>
  <si>
    <t>PDSLL SIGSIG CUENCA</t>
  </si>
  <si>
    <t xml:space="preserve"> OT-2026-029</t>
  </si>
  <si>
    <t xml:space="preserve"> OT-2026-030</t>
  </si>
  <si>
    <t xml:space="preserve"> OT-2026-031</t>
  </si>
  <si>
    <t xml:space="preserve"> OT-2026-032</t>
  </si>
  <si>
    <t xml:space="preserve"> OT-2026-033</t>
  </si>
  <si>
    <t xml:space="preserve"> OT-2026-034</t>
  </si>
  <si>
    <t xml:space="preserve"> OT-2026-035</t>
  </si>
  <si>
    <t xml:space="preserve"> OT-2026-036</t>
  </si>
  <si>
    <t xml:space="preserve"> OT-2026-037</t>
  </si>
  <si>
    <t>VISITA TÉCNICA PARA COTIZACIÓN</t>
  </si>
  <si>
    <t xml:space="preserve">CAMBIO NVR  </t>
  </si>
  <si>
    <t>JORGE CARRILLO</t>
  </si>
  <si>
    <t xml:space="preserve"> OT-2026-038</t>
  </si>
  <si>
    <t xml:space="preserve">FECHA </t>
  </si>
  <si>
    <t>2DA FECHA</t>
  </si>
  <si>
    <t>PROVINCIA</t>
  </si>
  <si>
    <t>PUNTO DE LA SUERTE</t>
  </si>
  <si>
    <t>CAMBIO NVR</t>
  </si>
  <si>
    <t>IMP CAM EXT</t>
  </si>
  <si>
    <t>IMP REJA DE SEG</t>
  </si>
  <si>
    <t>EQUIPO FECHA 1</t>
  </si>
  <si>
    <t>EQUIPO FECHA 2</t>
  </si>
  <si>
    <t xml:space="preserve">NOVEDADES PLANNER </t>
  </si>
  <si>
    <t>EQUIPOS DT360</t>
  </si>
  <si>
    <t>Ambato</t>
  </si>
  <si>
    <t>X</t>
  </si>
  <si>
    <t>PABLO PINOS Y STEVE VILLACRES</t>
  </si>
  <si>
    <t xml:space="preserve">EQUIPO UIO </t>
  </si>
  <si>
    <t>BENJAMIN ESCANDON</t>
  </si>
  <si>
    <t>TEC CUE</t>
  </si>
  <si>
    <t>Babahoyo</t>
  </si>
  <si>
    <t>PDSLL BABAHOYO</t>
  </si>
  <si>
    <t>TEC LOJA</t>
  </si>
  <si>
    <t>BALZAR</t>
  </si>
  <si>
    <t>PDSLL MI COMISARIATO BALZAR, BLZ</t>
  </si>
  <si>
    <t xml:space="preserve">EDWIN QUILUMBA </t>
  </si>
  <si>
    <t>No se realizó el cambio del NVR porque ya existe un NVR del mismo modelo, solo se aplicó las Analíticas.</t>
  </si>
  <si>
    <t>Bolivar</t>
  </si>
  <si>
    <t xml:space="preserve">PDSLL SAN MIGUEL DE BOLIVAR                                     </t>
  </si>
  <si>
    <t>CALCETA</t>
  </si>
  <si>
    <t>LUIS ASTERIO LOPEZ</t>
  </si>
  <si>
    <t>OPL SANTA ELENA - NO FUNCIONA PERIFONEA - SE SOLICITA CAMBIO DE BOCINA DAÑO EN LA MISMA, INDICO ANTERIORMENTE CARLOS PILLASAGUA</t>
  </si>
  <si>
    <t>Cayambe</t>
  </si>
  <si>
    <t>PDSLL CAYAMBE</t>
  </si>
  <si>
    <t>Chimborazo</t>
  </si>
  <si>
    <t>CHONE</t>
  </si>
  <si>
    <t>CUENCA</t>
  </si>
  <si>
    <t>PDSLL CUENCA, CUE</t>
  </si>
  <si>
    <t xml:space="preserve">DETALLE </t>
  </si>
  <si>
    <t xml:space="preserve">CANT </t>
  </si>
  <si>
    <t>NVR</t>
  </si>
  <si>
    <t xml:space="preserve">CAMARAS </t>
  </si>
  <si>
    <t>Daule</t>
  </si>
  <si>
    <t>PDSLL PLAZA TIA LA JOYA, DAU</t>
  </si>
  <si>
    <t xml:space="preserve">No se realizó el cambio del NVR porque ya existe un NVR del mismo modelo, solo se aplicó las Analíticas </t>
  </si>
  <si>
    <t xml:space="preserve">REJAS DE SEGURIDAD </t>
  </si>
  <si>
    <t>PDSLL PIAZZA VILLA CLUB, DAU</t>
  </si>
  <si>
    <t>OPL BINGO GARZOTA  -  SALE ELIMINADA LA ALARMA EN LA CONSOLA QUE LE BRINDA SERVICIO AL OPERADOR</t>
  </si>
  <si>
    <t>PDSLL DAULE, DAU</t>
  </si>
  <si>
    <t>JOEL LOZANO</t>
  </si>
  <si>
    <t>PDVLL PATATE - NO TENEMOS VISUAL DE LA CAMARA DEL COUNTER EL RESTO DE CAMARAS ESTAN OPERATIVAS</t>
  </si>
  <si>
    <t>PDSLL AKI DAULE, DAU</t>
  </si>
  <si>
    <t>Duran</t>
  </si>
  <si>
    <t>PDSLL AKI PRIMAVERA DURAN</t>
  </si>
  <si>
    <t xml:space="preserve">JOEL LOZANO </t>
  </si>
  <si>
    <t>PDSLL PLAZA TIA  DURAN, # L-23</t>
  </si>
  <si>
    <t>?</t>
  </si>
  <si>
    <t>PDSIL TERMINAL TERRESTRE MANTA -  NO TIENE BATERIA EL TECLADO POR ENDE NO PUEDEN APERTURAR Y CERRAR EL PUNTO</t>
  </si>
  <si>
    <t>PDSLL GRAN AKI DURAN</t>
  </si>
  <si>
    <t>PDSLL ELOY ALFARO 1, DUR</t>
  </si>
  <si>
    <t>N/A</t>
  </si>
  <si>
    <t>Empalme</t>
  </si>
  <si>
    <t>PDSLL EL EMPALME</t>
  </si>
  <si>
    <t>ENRIQUE RENDON</t>
  </si>
  <si>
    <t>EMPALME</t>
  </si>
  <si>
    <t>PDSLL MI COMISARIATO, EL EMPALME, LOCAL 1</t>
  </si>
  <si>
    <t>Esmeraldas</t>
  </si>
  <si>
    <t>PDSLL ESMERALDAS</t>
  </si>
  <si>
    <t>PDSLL AKI QUININDE</t>
  </si>
  <si>
    <t>Guamote</t>
  </si>
  <si>
    <t xml:space="preserve">PDSLL GUAMOTE </t>
  </si>
  <si>
    <t>Guayaquil</t>
  </si>
  <si>
    <t>M. TUMBACO</t>
  </si>
  <si>
    <t>PDSLL PLAZA SAN EDUARDO, GYE, CALLE RODRIGUEZ BONIN</t>
  </si>
  <si>
    <t xml:space="preserve">BRYAN GUERRERO </t>
  </si>
  <si>
    <t>REVISAR CONTACTO MAGNETICO ZONA 1 SE ACTIVA DESPUES DEL ARMADO</t>
  </si>
  <si>
    <t>PDSLL MERCADO CENTRAL 6 DE MARZO, GYE</t>
  </si>
  <si>
    <t>x</t>
  </si>
  <si>
    <t xml:space="preserve">KEVIN HIDALGO </t>
  </si>
  <si>
    <t>PDSLL SAUCES 6, GYE</t>
  </si>
  <si>
    <t xml:space="preserve">HERNAN SALAZAR </t>
  </si>
  <si>
    <t>PDSLL PLAZA TIA EL MAESTRO, GYE</t>
  </si>
  <si>
    <t>PDSLL GOMEZ RENDON Y GARCIA MORENO, GYE</t>
  </si>
  <si>
    <t>PDSLL TIA MUCHO LOTE 2, GYE</t>
  </si>
  <si>
    <t>PDSLL PLAZA TIA BASTION, GYE</t>
  </si>
  <si>
    <t xml:space="preserve">CARLOS PILLASAGUA </t>
  </si>
  <si>
    <t>PDSLL CC TIA EL CAMINO, GYE, KM 19.5 VIA A DAULE</t>
  </si>
  <si>
    <t>PDSLL PLAZA ORELLANA GYE</t>
  </si>
  <si>
    <t>PDSLL CARCHI Y 1 DE MAYO, GYE</t>
  </si>
  <si>
    <t>PDSLL MI COMISARIATO FLORIDA, GYE</t>
  </si>
  <si>
    <t>BRYAN GUERRERO</t>
  </si>
  <si>
    <t>PDSLL AKI MUCHO LOTE, GYE</t>
  </si>
  <si>
    <t>PDSLL CC CITY MALL, GYE PB  #13</t>
  </si>
  <si>
    <t>PDSLL HIPER VIA A LA COSTA, GYE</t>
  </si>
  <si>
    <t xml:space="preserve">PDSLL VIA A LA COSTA KM 20, GYE </t>
  </si>
  <si>
    <t xml:space="preserve">ENRIQUE RENDON </t>
  </si>
  <si>
    <t>PDSLL VELEZ, GYE</t>
  </si>
  <si>
    <t>PDSLL PORTETE 2, GYE</t>
  </si>
  <si>
    <t>PDVLL GUAMOTE -  SE VISUALIZA EN EL PUNTO LA UBICACION DE LA BOCINA EN EL RACK</t>
  </si>
  <si>
    <t>PDSLL PLAZA GALERIA LA JOYA, GYE</t>
  </si>
  <si>
    <t>PDSLL HIPER VIA DAULE, GYE</t>
  </si>
  <si>
    <t>PDSLL PIAZZA SAMBORONDON, GYE</t>
  </si>
  <si>
    <t>OPL GUASMO 2 - EL BOTON DE PANICO REFLEJA COMO ALARMA DE INCENDIO</t>
  </si>
  <si>
    <t>PDSLL SAMBORONDÓN, SAM PUEBLO - (GYE)</t>
  </si>
  <si>
    <t>JOEL LOZANO Y MARIO TUMBACO</t>
  </si>
  <si>
    <t>PDSLL GRAN AKI DOMINGO COMIN, GYE</t>
  </si>
  <si>
    <t>PDSLL LA GARZOTA, GYE</t>
  </si>
  <si>
    <t>PDSLL BAHIA, GYE</t>
  </si>
  <si>
    <t>PDSLL 9 DE OCTUBRE 427, GYE</t>
  </si>
  <si>
    <t xml:space="preserve">ENRIQUE RENDON Y HERNAN SALAZAR </t>
  </si>
  <si>
    <t>PDSLL 9 DE OCTUBRE BOULEVARD, GYE</t>
  </si>
  <si>
    <t>ENRIQUE RENDON Y HERNAN SALAZAR</t>
  </si>
  <si>
    <t>PDSLL AKI TULCAN - PERDIDA DE BATERIA EN EL PANEL</t>
  </si>
  <si>
    <t>PDSLL ALBOTEC, GYE</t>
  </si>
  <si>
    <t>PDVLL EL EMPALME  -  PROBLEMA CON UNA CAMARA IP SIN VISUAL SE REINICIA EL EQUIPO NO SE RECUPERA LA CAMARA</t>
  </si>
  <si>
    <t>PDSLL BOYACA, GYE</t>
  </si>
  <si>
    <t xml:space="preserve">PDSLL PEDRO CARBO Y SUCRE, GYE </t>
  </si>
  <si>
    <t xml:space="preserve">PDSLL PLAZA DE LA SUERTE GYE CHILE Y LUQUE, GYE </t>
  </si>
  <si>
    <t>PDSLL C. S. EMELEC, GYE</t>
  </si>
  <si>
    <t>HUAQUILLAS</t>
  </si>
  <si>
    <t>PDSLL LA CAROLINA ALARMA C1 - NO FUNCIONA CONTACTO MAGNETICO
ADICIONAL DE 2 PUERTAS NO ESTAN AGREGADOS EN EL PANEL</t>
  </si>
  <si>
    <t>Ibarra</t>
  </si>
  <si>
    <t>PDSLL IBARRA</t>
  </si>
  <si>
    <t>PDSLL PEDRO MONCAYO 1136 - IBARRA</t>
  </si>
  <si>
    <t>JIPIJAPA</t>
  </si>
  <si>
    <t>LA TRONCAL</t>
  </si>
  <si>
    <t>PDSLL LA TRONCAL, TRO</t>
  </si>
  <si>
    <t>JULIO DEDILLO PUCHA</t>
  </si>
  <si>
    <t>OPL EL COCA -  TIENE 3 BOTONES DE PANICO CAJA, RACK Y NO FUNCIONA EL BOTON DE PANICO DEL BAÑO</t>
  </si>
  <si>
    <t>Latacunga</t>
  </si>
  <si>
    <t>PDSLL LATACUNGA EXPRESS, LAT</t>
  </si>
  <si>
    <t xml:space="preserve">loja </t>
  </si>
  <si>
    <t xml:space="preserve">PDSLL LOJA  </t>
  </si>
  <si>
    <t>OPL QUADRA SANTO DOMINGO - HAY 3 BOTONES DE PANICO EN EL HIK CONNECT PERO SOLO APARECE 1 EN FISICO Y 2 BOTONES DE HUMO, PERO EN HIK CONNECT NO APARECE NINGUN BOTON DE HUMO</t>
  </si>
  <si>
    <t>Los Rios</t>
  </si>
  <si>
    <t>PDSLL MONTALVO</t>
  </si>
  <si>
    <t>Machala</t>
  </si>
  <si>
    <t>MACHALA</t>
  </si>
  <si>
    <t>MANTA</t>
  </si>
  <si>
    <t>PDSLL MANTA, MTA</t>
  </si>
  <si>
    <t>PDSLL NUEVO TARQUI MANTA</t>
  </si>
  <si>
    <t>PDSLL BARRIO AURORA MANTA</t>
  </si>
  <si>
    <t>PDVLL HIPER PASAJE - PROBLEMAS EN EL MOMENTO DE ARMAR EL PUNTO AL SONAR LA SIRENA POR SMI INGRESO</t>
  </si>
  <si>
    <t>PDSLL PRADERA MANTA</t>
  </si>
  <si>
    <t>Milagro</t>
  </si>
  <si>
    <t>PDSLL MILAGRO, MLG</t>
  </si>
  <si>
    <t>KEVIN HIDALGO</t>
  </si>
  <si>
    <t xml:space="preserve">PDSLL PLAZA TIA MILAGRO, LOCAL 4 </t>
  </si>
  <si>
    <t>MONTECRISTI</t>
  </si>
  <si>
    <t>OPL GENERAL VILLAMIL PLAYAS - NO FUNCIONA EL PERIFONEO</t>
  </si>
  <si>
    <t>No se puede instalar las Rejas, el CC no permitio la instalacion de las rejas</t>
  </si>
  <si>
    <t>Naranjal</t>
  </si>
  <si>
    <t xml:space="preserve">PDSLL HIPER NARANJAL, NRJ </t>
  </si>
  <si>
    <t>MARIO TUMBACO</t>
  </si>
  <si>
    <t xml:space="preserve">PDSLL NARANJAL, NRJ  </t>
  </si>
  <si>
    <t>Orellana</t>
  </si>
  <si>
    <t>PDSLL EL COCA, ORE, NAPO S/N</t>
  </si>
  <si>
    <t>PASAJE</t>
  </si>
  <si>
    <t>Pastaza</t>
  </si>
  <si>
    <t>PDSLL GRAN AKI EL PUYO</t>
  </si>
  <si>
    <t>PDSLL BARRIO MEXICO EL PUYO</t>
  </si>
  <si>
    <t>PAUTE</t>
  </si>
  <si>
    <t>PDSLL  PAUTE, CUE</t>
  </si>
  <si>
    <t>PEDERNALES</t>
  </si>
  <si>
    <t xml:space="preserve">PDSLL AKI PEDERNALES </t>
  </si>
  <si>
    <t>PDSLL PEDERNALES EXPRESS</t>
  </si>
  <si>
    <t>PEDRO CARBO</t>
  </si>
  <si>
    <t>PDSLL PEDRO CARBO EXPRESS</t>
  </si>
  <si>
    <t>P.EXTERNO</t>
  </si>
  <si>
    <t>Playas</t>
  </si>
  <si>
    <t>PDSLL GENERAL VILLAMIL PLAYAS, PLY</t>
  </si>
  <si>
    <t xml:space="preserve">CARLOS PILLASAGUA Y HERNAN SALAZAR </t>
  </si>
  <si>
    <t>PDVLL MACHACHI - PROBLEMA DE LA CAMARA SE VA A CADA MOMENTO</t>
  </si>
  <si>
    <t>PORTOVIEJO</t>
  </si>
  <si>
    <t xml:space="preserve">PDSLL PORTOMERCADOS </t>
  </si>
  <si>
    <t>PDVLL PLAZA TIA MILAGRO -  PROBLEMAS CON LA PUERTA DE INGRESO DEL COUNTER ESTA DESCUADRADADA NO CIERRA Y NO PUEDEN IR AL BAÑO POR QUE QUEDA ABIERTA</t>
  </si>
  <si>
    <t>PDSLL 1ERO DE MAYO PORTOVIEJO</t>
  </si>
  <si>
    <t>PDSLL AKI 15 DE ABRIL PORTOVIEJO</t>
  </si>
  <si>
    <t>PDSLL AV 5 DE JUNIO PORTOVIEJO</t>
  </si>
  <si>
    <t>Posorja</t>
  </si>
  <si>
    <t xml:space="preserve">PDSLL POSORJA </t>
  </si>
  <si>
    <t>Quevedo</t>
  </si>
  <si>
    <t>PDSLL QUEVEDO EXPRESS, QVD</t>
  </si>
  <si>
    <t>Quito</t>
  </si>
  <si>
    <t>PDSLL MERCURY, UIO</t>
  </si>
  <si>
    <t>V.CASPI</t>
  </si>
  <si>
    <t>PDSLL AKI PEDERNALES  -  NO FUNCIONA PERIFONEO
SE REALIZAN PRUEBAS
SENSOR DE PUERTA Y COLOCAR LANFORT QUE SE SALIO DEL PISO</t>
  </si>
  <si>
    <t>PDSLL LA CAROLINA, UIO</t>
  </si>
  <si>
    <t>PDSLL EL INCA  EXPRESS, UIO</t>
  </si>
  <si>
    <t>PDSLL MARIANA DE JESUS, UIO</t>
  </si>
  <si>
    <t>PDSLL COREA, UIO, COREA 126</t>
  </si>
  <si>
    <t>PDSLL SOLANDA, UIO</t>
  </si>
  <si>
    <t>PDSLL HUGRIA Y TOCAZO</t>
  </si>
  <si>
    <t>PDSLL OLMEDO EXPRESS, UIO</t>
  </si>
  <si>
    <t>PDSLL REAL AUDIENCIA</t>
  </si>
  <si>
    <t>PDSLL REAL AUDIENCIA N65</t>
  </si>
  <si>
    <t>PDSLL LA SALESIANA, UIO</t>
  </si>
  <si>
    <t>PDSLL AV CRISTOBAL  COLON</t>
  </si>
  <si>
    <t>PDSLL CARCELEN, UIO</t>
  </si>
  <si>
    <t xml:space="preserve">PDSLL LLANO CHICO  </t>
  </si>
  <si>
    <t>PDSLL MERCADO CARAPUNGO</t>
  </si>
  <si>
    <t>PDSLL HIPER BALLENITA - IMPLEMENTACION DE CAMARA</t>
  </si>
  <si>
    <t>PDVLL BARRIO LA AURORA MANTA - PROBLEMAS CON EL BOTON DE PANICO DEL RACK NO ESTA FUNCIONANDO NO NOS LLEGA ALERTA</t>
  </si>
  <si>
    <t>quito</t>
  </si>
  <si>
    <t xml:space="preserve">PDSLL INCA                                               </t>
  </si>
  <si>
    <t>PDSLL AV LA LUZ Y AV FRANCISCO</t>
  </si>
  <si>
    <t xml:space="preserve">PDSLL MENA DEL HIERRO                   </t>
  </si>
  <si>
    <t>PDSLL CENTRO HISTORICO</t>
  </si>
  <si>
    <t>PDSLL PLAZA FOCH, UIO</t>
  </si>
  <si>
    <t>PDVLL PIAZZA SAMBORONDON - BOTON DE PANICO SALE DESCARGADO REVISAR EN SITIO</t>
  </si>
  <si>
    <t xml:space="preserve">PDSLL PRADERA  , UIO                          </t>
  </si>
  <si>
    <t>PDSLL MARTHA BUCARAM, UIO</t>
  </si>
  <si>
    <t>PDSLL RODRIGO DE CHAVEZ, UIO</t>
  </si>
  <si>
    <t>PDSLL PLAZA CUMBAYA</t>
  </si>
  <si>
    <t>PDSLL MICHELENA</t>
  </si>
  <si>
    <t>PDSLL SANGOLQUI MERCADO</t>
  </si>
  <si>
    <t>QUito</t>
  </si>
  <si>
    <t>PDSLL GASOLINERA PRIMAX BATAN</t>
  </si>
  <si>
    <t>PDSLL AV. VELASCO IBARRA Y NAPO</t>
  </si>
  <si>
    <t>PDSLL DIEGO DE ALMAGRO Y REPUBLICA</t>
  </si>
  <si>
    <t>PDSLL LA CONCORDIA</t>
  </si>
  <si>
    <t>PDSLL MACHACHI</t>
  </si>
  <si>
    <t>Riobamba</t>
  </si>
  <si>
    <t>PDSLL RIOBAMBA, RIO</t>
  </si>
  <si>
    <t>ROCAFUERTE</t>
  </si>
  <si>
    <t xml:space="preserve">PDSLL ROCAFUERTE EXPRESS  </t>
  </si>
  <si>
    <t>Salinas</t>
  </si>
  <si>
    <t>PDSLL SUPERMAXI SALINAS</t>
  </si>
  <si>
    <t>Santa Elena</t>
  </si>
  <si>
    <t>PDSLL HIPER BALLENITA, STE</t>
  </si>
  <si>
    <t>Santa Elenea</t>
  </si>
  <si>
    <t>PDSLL T. TERRESTRE SANTA ELENA 2, STE PB #34</t>
  </si>
  <si>
    <t>SANTA ROSA</t>
  </si>
  <si>
    <t>Santo Domingo</t>
  </si>
  <si>
    <t xml:space="preserve">PDSLL CC GRAN AKI STO DOMINGO STD </t>
  </si>
  <si>
    <t>OPL PDSLL TSACHILA SANTO DOMINGO, STD</t>
  </si>
  <si>
    <t>Triunfo</t>
  </si>
  <si>
    <t>PDSLL EL TRIUNFO EXPRESS</t>
  </si>
  <si>
    <t>Tulcan</t>
  </si>
  <si>
    <t xml:space="preserve">PDSLL AKI TULCAN </t>
  </si>
  <si>
    <t>VENTANAS</t>
  </si>
  <si>
    <t>PDSLL VENTANAS</t>
  </si>
  <si>
    <t>VINCES</t>
  </si>
  <si>
    <t xml:space="preserve">PDSLL VINCES </t>
  </si>
  <si>
    <t xml:space="preserve">PLAN DE MANTENIMIENTO ANUAL </t>
  </si>
  <si>
    <t>SERIE</t>
  </si>
  <si>
    <t>TIPO DE LOCAL</t>
  </si>
  <si>
    <t>CIUDAD</t>
  </si>
  <si>
    <t>FECHA DE IMPLEMENTACION</t>
  </si>
  <si>
    <t>INF</t>
  </si>
  <si>
    <t>FECHA DE MANTENIMIENTO  2024</t>
  </si>
  <si>
    <t>FECHA DE MANTENIMINETO 2025</t>
  </si>
  <si>
    <t>FECHA DE MANTENIMINETO 2026</t>
  </si>
  <si>
    <t>FECHA M.PREV FINAL</t>
  </si>
  <si>
    <t>OBSERVACION</t>
  </si>
  <si>
    <t>LOCAL CC</t>
  </si>
  <si>
    <t>PDSLL MALL DEL SUR, GYE</t>
  </si>
  <si>
    <t>PDSLL PEDRO CARBO Y SUCRE</t>
  </si>
  <si>
    <t>PDSLL BAHIA</t>
  </si>
  <si>
    <t xml:space="preserve">LOCAL </t>
  </si>
  <si>
    <t>PDSLL PLAZA DE LA SUERTE GYE CHILE Y LUQUE</t>
  </si>
  <si>
    <t>PDSLL ELOY ALFARO 1,DUR</t>
  </si>
  <si>
    <t>Manabi</t>
  </si>
  <si>
    <t>Cuenca</t>
  </si>
  <si>
    <t>Manta</t>
  </si>
  <si>
    <t>PDSLL AKI MUCHO LOTE</t>
  </si>
  <si>
    <t>Napo</t>
  </si>
  <si>
    <t>PROBLEMA SENSOR MAGNETICO - CONTROL DE ACCESO</t>
  </si>
  <si>
    <t>El amplificador de perifoneo no funciona hay que reemplazarlo.</t>
  </si>
  <si>
    <t>HAY QUE CAMBIAR DE TECLADO</t>
  </si>
  <si>
    <t>el botón de pánico no funciona pero hay señal en el cable se debe cambiar el botón de pánico y el amplificador de perifoneo se debe cambiar la fuente ya que no le apreta la ajuga y se debe poner un objeto para que aprete</t>
  </si>
  <si>
    <t xml:space="preserve">uno de los botones de pánico adicional se realiza medición de continuidad con multímetro pero no hay comunicación por lo que se debe cambiar el cable ya que posiblemente está fisurado y se tiene el error de recepción de alertas del botón de pánico </t>
  </si>
  <si>
    <t>PDSLL ZONA SORTEO MATRIZ DE LOTERÍA NACIONAL</t>
  </si>
  <si>
    <t>una camara es el problema que no da visual</t>
  </si>
  <si>
    <t>PDSLL REAL AUDIENCIA, UIO</t>
  </si>
  <si>
    <t>PDSLL PLAZA TIA BASTION</t>
  </si>
  <si>
    <t>PDSLL SAMBORONDÓN, SAM</t>
  </si>
  <si>
    <t>PDSLL PLAZA DEL VALLE EXPRESS, UIO</t>
  </si>
  <si>
    <t>PERDIDA DE BATERIA EN EL PANEL</t>
  </si>
  <si>
    <t>Se recomienda hacer reubicación de botón de pánico ya que lo presionan al abrir la puerta del baño.</t>
  </si>
  <si>
    <t>ISLA CC</t>
  </si>
  <si>
    <t>PDSIL CC CITY MALL 1, GYE P1 #S/N</t>
  </si>
  <si>
    <t>PDSIL CC CITY MALL 2, GYE PB #S/N</t>
  </si>
  <si>
    <t>PDSLL MALL DEL FORTIN</t>
  </si>
  <si>
    <t>PDSIL CC LA ROTONDA, GYE, PB #14A</t>
  </si>
  <si>
    <t>PDSLL CC SAN MARINO, GYE, S2 #E01 LOCAL</t>
  </si>
  <si>
    <t>PDSLL WORLD TRADE CENTER, GYE</t>
  </si>
  <si>
    <t>PDSIL CC MALL DEL SOL 1, SECTOR PATIO COMIDAS, GYE</t>
  </si>
  <si>
    <t>PDSIL CC MALL DEL SOL 2, PASILLO CENTRAL, GYE</t>
  </si>
  <si>
    <t>PDSIL CC MALL DEL SOL 4, TORRES DEL SOL, GYE</t>
  </si>
  <si>
    <t>PDSLL CC MALL DEL SOL, GYE</t>
  </si>
  <si>
    <t>PDSIL CC MALL DEL SOL 3, SECTOR SUKASA, GYE</t>
  </si>
  <si>
    <t>PDSLL CC MALL DEL NORTE, GYE, PB 18</t>
  </si>
  <si>
    <t>PDSLL CC RIOCENTRO NORTE, GYE</t>
  </si>
  <si>
    <t>PDSLL HIPER MUCHO LOTE II, GYE</t>
  </si>
  <si>
    <t>ISLA</t>
  </si>
  <si>
    <t>PDSIL TERMINAL TERRESTRE PASCUALES</t>
  </si>
  <si>
    <t>PDSIL CC MALL DEL SUR, GYE, PB #11</t>
  </si>
  <si>
    <t>PDSLL CC ALBAN BORJA, GYE</t>
  </si>
  <si>
    <t>PDSLL CC RIOCENTRO CEIBOS 2,GYE, PA 123</t>
  </si>
  <si>
    <t>PDSLL CC RIOCENTRO CEIBOS, GYE</t>
  </si>
  <si>
    <t>PDSLL CC RIOCENTRO SUR, GYE</t>
  </si>
  <si>
    <t>PDSIL CC POLICENTRO, GYE, PB AV. REAL</t>
  </si>
  <si>
    <t>PDSLL CC POLICENTRO, GYE, PB #93 LOCAL</t>
  </si>
  <si>
    <t>PDSIL CC EL CONDADO 2, UIO P3 #BTL-729</t>
  </si>
  <si>
    <t>PDSIL SANTA MARIA CONDADO</t>
  </si>
  <si>
    <t>PDSLL CC EL CONDADO 2, UIO, P4 #L420</t>
  </si>
  <si>
    <t>PDSLL CC SHOPPING BATAN, CUE</t>
  </si>
  <si>
    <t>PDSLL CC SHOPPING BAHIA, BHC</t>
  </si>
  <si>
    <t>PDSLL MONTECRISTI, MTC</t>
  </si>
  <si>
    <t>PDSIL MONAY SHOPPING CENTER, CUE, INT CORAL</t>
  </si>
  <si>
    <t>PDSIL TERMINAL TERRESTRE CUENCA</t>
  </si>
  <si>
    <t>PDSIL CC EL RECREO (HAPPY TIME), UIO</t>
  </si>
  <si>
    <t>PDSIL CC EL RECREO 4, UIO, P1 CORREDOR H # I-1H019</t>
  </si>
  <si>
    <t>PDSLL CC EL RECREO ETAPA 2, UIO</t>
  </si>
  <si>
    <t>PDSIL CC MULTIPLAZA MIRAFLORES, CUE, AV GIL RAMÍREZ</t>
  </si>
  <si>
    <t>PDSLL CC MALL DEL PACIFICO, MTA, #15</t>
  </si>
  <si>
    <t>PDSIL CCI, UIO, PB #Y-13 ISLA</t>
  </si>
  <si>
    <t>PDSLL CC CCI, UIO, S1 #A-12 LOCAL</t>
  </si>
  <si>
    <t>PDSLL CC MALL DEL PACIFICO, MTA, P2 #12</t>
  </si>
  <si>
    <t>PDSIL PLAZA DE LAS AMERICAS</t>
  </si>
  <si>
    <t>PDSIL CC MALL DEL RIO, CUE P1 #S/N SECTOR PATIO COMIDAS</t>
  </si>
  <si>
    <t>PDSIL CC MILENIUM PLAZA, CUE </t>
  </si>
  <si>
    <t>PDSLL CC SHOPPING MANTA, MTA</t>
  </si>
  <si>
    <t>PDSIL TIA LA LUZ, UIO, PB</t>
  </si>
  <si>
    <t>PDSLL CC QUICENTRO SUR, UIO, PB #161-162</t>
  </si>
  <si>
    <t>PDSLL CC SAN LUIS, UIO</t>
  </si>
  <si>
    <t>PDSIL MERCADO MANTA, MTA</t>
  </si>
  <si>
    <t>PDSIL TERMINAL TERRESTRE MANTA</t>
  </si>
  <si>
    <t>PDSIL CORAL LA Y, UIO</t>
  </si>
  <si>
    <t>PDSIL PLAZA MARIANITAS, UIO, PB #12</t>
  </si>
  <si>
    <t>PDSLL CC PORTAL SHOPPING EXPRESS, UIO</t>
  </si>
  <si>
    <t>PDSLL CC QUICENTRO NORTE, UIO, P1 #P2-009-010</t>
  </si>
  <si>
    <t>PDSIL CC EL VERGEL, CUE</t>
  </si>
  <si>
    <t>El Oro</t>
  </si>
  <si>
    <t>PDSIL CC RIOCENTRO 6 DE DICIEMBRE, UIO, PA #1</t>
  </si>
  <si>
    <t>PDSIL CC SCALA SHOPPING 1, UIO</t>
  </si>
  <si>
    <t>PDSLL CC EL BOSQUE, UIO, PB #049</t>
  </si>
  <si>
    <t>PDSLL CC GRANADOS PLAZA, UIO AX PRO</t>
  </si>
  <si>
    <t>PDSLL CC SHOPPING QUEVEDO, QVD</t>
  </si>
  <si>
    <t>PDSLL CC PLAZA AEROPUERTO, UIO, PB LOCAL #6</t>
  </si>
  <si>
    <t>Guayas</t>
  </si>
  <si>
    <t>PDSLL CC SHOPPING MACHALA, MCH</t>
  </si>
  <si>
    <t>PDSLL HIPER CAYAMBE, CAY, PANAMERICANA ANEXO 1</t>
  </si>
  <si>
    <t>PDSLL CC EL DORADO, DAU</t>
  </si>
  <si>
    <t>PDSLL CC MEGA PLAZA DEL SOL PORTOVIEJO, PTV</t>
  </si>
  <si>
    <t>Portoviejo</t>
  </si>
  <si>
    <t>PDSLL CC ATAHUALPA 30, UIO, LOCAL #30</t>
  </si>
  <si>
    <t>PDSIL LAGO AGRIO MERCADO CENTRAL</t>
  </si>
  <si>
    <t>Sucumbios</t>
  </si>
  <si>
    <t>PDSLL VIA A LA COSTA KM 20</t>
  </si>
  <si>
    <t xml:space="preserve">PDSLL CC SHOPPING DURAN </t>
  </si>
  <si>
    <t>PDSLL CC SHOPPING DAULE, DAU</t>
  </si>
  <si>
    <t>PDSIL TIA VIA SALITRE EXPRESS, DAU</t>
  </si>
  <si>
    <t>PDSIL TERMINAL TERRESTRE ESMERALDAS</t>
  </si>
  <si>
    <t>PDSIL CC PLAZA DEL SOL MANABI, PTV</t>
  </si>
  <si>
    <t>PDSIL LAGO AGRIO EXPRESS</t>
  </si>
  <si>
    <t>PDSLL CC GRAN AKI STO DOM, STD</t>
  </si>
  <si>
    <t>Santo domingo</t>
  </si>
  <si>
    <t>PDSLL MALTERIA, LAT</t>
  </si>
  <si>
    <t>PDSLL PLAZA TIA, MLG, LOCAL 4</t>
  </si>
  <si>
    <t>PDSLL CC SHOPPING RIOBAMBA, RIO</t>
  </si>
  <si>
    <t>PDSIL HIPER LA TRONCAL, TRO.</t>
  </si>
  <si>
    <t>Troncal</t>
  </si>
  <si>
    <t>PDSLL HIPER NARANJAL, NRJ</t>
  </si>
  <si>
    <t>PDSLL CC SHOPPING LA LIBERTAD, STE</t>
  </si>
  <si>
    <t>Santa elena</t>
  </si>
  <si>
    <t>Carchi</t>
  </si>
  <si>
    <t>PDSLL CC SHOPPING PLAYAS, PLY</t>
  </si>
  <si>
    <t>PDSLL PIAZZA SAMBORONDÓN, SAM</t>
  </si>
  <si>
    <t>PDSLL AKI DAULE</t>
  </si>
  <si>
    <t>PDSLL PORTOMERCADO</t>
  </si>
  <si>
    <t>PDSLL PORTOVIEJO, PTV</t>
  </si>
  <si>
    <t>PDSLL ROCAFUERTE EXPRESS</t>
  </si>
  <si>
    <t>PDSLL VINCES</t>
  </si>
  <si>
    <t>PDSLL POSORJA - GYE</t>
  </si>
  <si>
    <t>Loja</t>
  </si>
  <si>
    <t>PDSLL NARANJAL, NRJ</t>
  </si>
  <si>
    <t>PDSLL LA MANA</t>
  </si>
  <si>
    <t>Cotopaxi</t>
  </si>
  <si>
    <t>PDSLL BUENA FE EXPRESS</t>
  </si>
  <si>
    <t>PDSLL SACHA - ORELLANA</t>
  </si>
  <si>
    <t>PDSLL AMBATO 2</t>
  </si>
  <si>
    <t>PDSLL CC SHOPPING AMBATO, AMB</t>
  </si>
  <si>
    <t>PDSLL CC SHOPPING BABAHOYO, BAH</t>
  </si>
  <si>
    <t>PDSIL SANTA MARIA LA LUZ</t>
  </si>
  <si>
    <t>PDSLL QUEVEDO, QVD</t>
  </si>
  <si>
    <t>PDSLL SANTA ROSA</t>
  </si>
  <si>
    <t>PDSLL TSACHILA SANTO DOMINGO, STD</t>
  </si>
  <si>
    <t>PDSLL SANTA MARIA TUMBACO</t>
  </si>
  <si>
    <t>PDSIL SANTA MARIA GARZOTA</t>
  </si>
  <si>
    <t>PDSIL SANTA MARIA PORTOVIEJO</t>
  </si>
  <si>
    <t>PDSIL SANTA MARIA 6 DE DICIEMBRE</t>
  </si>
  <si>
    <t>PDSIL SANTA MARIA CAYAMBE</t>
  </si>
  <si>
    <t>PDSIL PLAZA PYCCA</t>
  </si>
  <si>
    <t>PDSIL BAMBOO PLAZA</t>
  </si>
  <si>
    <t>PDSIL PLAZA PAÑORA OLIMPO</t>
  </si>
  <si>
    <t>PDSIL PLAZA QUIL GYE</t>
  </si>
  <si>
    <t>PDSIL PLAZA PAÑORA TARES</t>
  </si>
  <si>
    <t>PDSIL PLAZA PAÑORA HUAQUILLAS</t>
  </si>
  <si>
    <t>PDSLL PLAZA GALERIA LA JOYA</t>
  </si>
  <si>
    <t>PDSIL PLAZA PAÑORA MACHALA</t>
  </si>
  <si>
    <t>PDSLL AKI PEDERNALES</t>
  </si>
  <si>
    <t>PDSLL HIPER DORADO, DAU</t>
  </si>
  <si>
    <t>PDSIL SANTA MARIA ECUATORIANA</t>
  </si>
  <si>
    <t>PDSIL SANTA MARIA QUITUMBE</t>
  </si>
  <si>
    <t>PDSIL SANTA MARIA BILOXI</t>
  </si>
  <si>
    <t>PDSIL SANTA MARIA CHILLOGALLO</t>
  </si>
  <si>
    <t>PDSIL SANTA MARIA NACIONES UNIDAS</t>
  </si>
  <si>
    <t>CERRADO (LOS EQUIPOS SE ENCUENTRAN EN SANTA MARIA CARAPUNGO)</t>
  </si>
  <si>
    <t>PDSIL SANTA MARIA COMITE DEL PUEBLO</t>
  </si>
  <si>
    <t>PDSIL OMNIHOSPITAL</t>
  </si>
  <si>
    <t>PDSIL HOSPITAL ALFREDO PAULSON</t>
  </si>
  <si>
    <t>PDSIL SANTA MARIA BALAO</t>
  </si>
  <si>
    <t>PDSIL SANTA MARIA IBARRA CENTRO</t>
  </si>
  <si>
    <t>PDSIL SANTA MARIA LATACUNGA</t>
  </si>
  <si>
    <t>PDSIL PLAZA PAÑORA PASAJE</t>
  </si>
  <si>
    <t>PDSIL SANTA MARIA AMBATO</t>
  </si>
  <si>
    <t>PDSIL SANTA MARIA RIOBAMBA(F)</t>
  </si>
  <si>
    <t>PDSLL AKI DOMINGO COMIN</t>
  </si>
  <si>
    <t>PDSLL PLAZA TIA , DURÁN, # L-23</t>
  </si>
  <si>
    <t>PDSIL SUPERCINES ORELLANA</t>
  </si>
  <si>
    <t>PDSLL TIA MUCHO LOTE, GYE</t>
  </si>
  <si>
    <t xml:space="preserve">PDSLL TERMINAL TERRESTRE GUAYAQUIL </t>
  </si>
  <si>
    <t>PDSLL 6 DE MARZO, GYE</t>
  </si>
  <si>
    <t>PDSIL TERMINAL TERRESTRE GUAYAQUIL</t>
  </si>
  <si>
    <t>PDSLL COMISARIATO PEDRO MENENDEZ GILBERT, GYE</t>
  </si>
  <si>
    <t>PDSIL CASANOVA MANTA</t>
  </si>
  <si>
    <t xml:space="preserve">ISLA  </t>
  </si>
  <si>
    <t>PDSIL CASANOVA PORTOVIEJO</t>
  </si>
  <si>
    <t>PDSIL CORAL VIA SALITRE</t>
  </si>
  <si>
    <t>PDSIL MALECON 2000</t>
  </si>
  <si>
    <t>24 - 7 (3)</t>
  </si>
  <si>
    <t>PDSIL MALL DEL FORTIN</t>
  </si>
  <si>
    <t>PDSIL MALL DEL NORTE </t>
  </si>
  <si>
    <t>PDSIL MARCELINO MARIDUEÑA</t>
  </si>
  <si>
    <t>PDSIL METROVIA RIO DAULE</t>
  </si>
  <si>
    <t>PDSIL PLAZA GARZOTA</t>
  </si>
  <si>
    <t xml:space="preserve">PDSIL PONCE ENRIQUE </t>
  </si>
  <si>
    <t>PDSIL SANTA MARIA OCCIDENTAL</t>
  </si>
  <si>
    <t>PDSIL VILLAGE PLAZA</t>
  </si>
  <si>
    <t xml:space="preserve">PDSLL CC PLAZA DE LAS AMERICAS </t>
  </si>
  <si>
    <t>PDSLL INCA LOS ALAMOS</t>
  </si>
  <si>
    <t xml:space="preserve">PDSLL LA FLORIDA  </t>
  </si>
  <si>
    <t>Tunguragua</t>
  </si>
  <si>
    <t>PDSLL PAUTE</t>
  </si>
  <si>
    <t>PDSLL PIAZZA BINGO MACHALA</t>
  </si>
  <si>
    <t xml:space="preserve">PDSLL PLATAFORMA SUR       </t>
  </si>
  <si>
    <t>PDSLL PLAZA MAYOR</t>
  </si>
  <si>
    <t>PDSLL PLAZA TIA EL MAESTRO</t>
  </si>
  <si>
    <t>PDSLL PUJILI</t>
  </si>
  <si>
    <t>PDSLL PLAZA CENTENARIO</t>
  </si>
  <si>
    <t>PDSLL QUERO</t>
  </si>
  <si>
    <t>PDVLL HIPER MIRACIELO</t>
  </si>
  <si>
    <t>QUITO</t>
  </si>
  <si>
    <t>LATACUNGA</t>
  </si>
  <si>
    <t>AMBATO</t>
  </si>
  <si>
    <t>PATATE</t>
  </si>
  <si>
    <t>GUANO</t>
  </si>
  <si>
    <t>GUAMOTE</t>
  </si>
  <si>
    <t>GUARANDA</t>
  </si>
  <si>
    <t>BOLIVAR</t>
  </si>
  <si>
    <t>LOJA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</si>
</sst>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3.5"/>
      <color theme="1"/>
      <name val="Aptos Narrow"/>
      <family val="2"/>
      <scheme val="minor"/>
    </font>
    <font>
      <sz val="11"/>
      <color rgb="FF000000"/>
      <name val="Aptos Narrow"/>
      <family val="2"/>
      <scheme val="minor"/>
    </font>
    <font>
      <sz val="8"/>
      <color rgb="FF000000"/>
      <name val="Aptos Narrow"/>
      <family val="2"/>
      <scheme val="minor"/>
    </font>
    <font>
      <b/>
      <sz val="8"/>
      <color rgb="FF000000"/>
      <name val="Aptos Narrow"/>
      <family val="2"/>
      <scheme val="minor"/>
    </font>
    <font>
      <b/>
      <sz val="18"/>
      <color theme="1"/>
      <name val="Aptos Narrow"/>
      <family val="2"/>
      <scheme val="minor"/>
    </font>
    <font>
      <sz val="8"/>
      <name val="Aptos Narrow"/>
      <family val="2"/>
      <scheme val="minor"/>
    </font>
    <font>
      <b/>
      <sz val="11"/>
      <color theme="0"/>
      <name val="Aptos Narrow"/>
      <family val="2"/>
      <scheme val="minor"/>
    </font>
    <font>
      <sz val="11"/>
      <color theme="0"/>
      <name val="Aptos Narrow"/>
      <family val="2"/>
      <scheme val="minor"/>
    </font>
    <font>
      <sz val="12"/>
      <color theme="0"/>
      <name val="Aptos Narrow"/>
      <family val="2"/>
      <scheme val="minor"/>
    </font>
    <font>
      <sz val="8"/>
      <color rgb="FF000000"/>
      <name val="Times New Roman"/>
      <family val="1"/>
    </font>
    <font>
      <sz val="11"/>
      <color rgb="FF000000"/>
      <name val="Aptos Narrow"/>
      <family val="2"/>
    </font>
    <font>
      <sz val="11"/>
      <color rgb="FF000000"/>
      <name val="Aptos Narrow"/>
      <charset val="1"/>
    </font>
    <font>
      <sz val="11"/>
      <color rgb="FF000000"/>
      <name val="Aptos Narrow"/>
      <scheme val="minor"/>
    </font>
    <font>
      <sz val="11"/>
      <color rgb="FFFFFFFF"/>
      <name val="Aptos Narrow"/>
      <family val="2"/>
      <scheme val="minor"/>
    </font>
    <font>
      <sz val="10"/>
      <color rgb="FF000000"/>
      <name val="Aptos Narrow"/>
      <family val="2"/>
      <scheme val="minor"/>
    </font>
    <font>
      <sz val="12"/>
      <color rgb="FF000000"/>
      <name val="Aptos Narrow"/>
      <family val="2"/>
      <scheme val="minor"/>
    </font>
    <font>
      <sz val="11"/>
      <color rgb="FF242424"/>
      <name val="Aptos Narrow"/>
      <family val="2"/>
      <scheme val="minor"/>
    </font>
  </fonts>
  <fills count="16">
    <fill>
      <patternFill patternType="none"/>
    </fill>
    <fill>
      <patternFill patternType="gray125"/>
    </fill>
    <fill>
      <patternFill patternType="solid">
        <fgColor rgb="FFFFFFFF"/>
        <bgColor rgb="FF000000"/>
      </patternFill>
    </fill>
    <fill>
      <patternFill patternType="solid">
        <fgColor rgb="FFC0E6F5"/>
        <bgColor rgb="FF000000"/>
      </patternFill>
    </fill>
    <fill>
      <patternFill patternType="solid">
        <fgColor rgb="FFFF0000"/>
        <bgColor indexed="64"/>
      </patternFill>
    </fill>
    <fill>
      <patternFill patternType="solid">
        <fgColor theme="4" tint="0.79998168889431442"/>
        <bgColor indexed="64"/>
      </patternFill>
    </fill>
    <fill>
      <patternFill patternType="solid">
        <fgColor theme="1"/>
        <bgColor theme="1"/>
      </patternFill>
    </fill>
    <fill>
      <patternFill patternType="solid">
        <fgColor rgb="FFFFC000"/>
        <bgColor indexed="64"/>
      </patternFill>
    </fill>
    <fill>
      <patternFill patternType="solid">
        <fgColor theme="4"/>
        <bgColor indexed="64"/>
      </patternFill>
    </fill>
    <fill>
      <patternFill patternType="solid">
        <fgColor rgb="FFFFFF00"/>
        <bgColor indexed="64"/>
      </patternFill>
    </fill>
    <fill>
      <patternFill patternType="solid">
        <fgColor rgb="FF92D050"/>
        <bgColor indexed="64"/>
      </patternFill>
    </fill>
    <fill>
      <patternFill patternType="solid">
        <fgColor rgb="FF156082"/>
        <bgColor rgb="FF000000"/>
      </patternFill>
    </fill>
    <fill>
      <patternFill patternType="solid">
        <fgColor rgb="FFFBE2D5"/>
        <bgColor rgb="FF000000"/>
      </patternFill>
    </fill>
    <fill>
      <patternFill patternType="solid">
        <fgColor rgb="FF00B0F0"/>
        <bgColor rgb="FF000000"/>
      </patternFill>
    </fill>
    <fill>
      <patternFill patternType="solid">
        <fgColor rgb="FFFF0000"/>
        <bgColor rgb="FF000000"/>
      </patternFill>
    </fill>
    <fill>
      <patternFill patternType="solid">
        <fgColor rgb="FFF7C7AC"/>
        <bgColor rgb="FF000000"/>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theme="1"/>
      </top>
      <bottom/>
      <diagonal/>
    </border>
    <border>
      <left/>
      <right style="thin">
        <color theme="1"/>
      </right>
      <top style="thin">
        <color theme="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39">
    <xf numFmtId="0" fontId="0" fillId="0" borderId="0" xfId="0"/>
    <xf numFmtId="0" fontId="1" fillId="0" borderId="0" xfId="0" applyFont="1" applyAlignment="1">
      <alignment vertical="center"/>
    </xf>
    <xf numFmtId="0" fontId="2" fillId="0" borderId="0" xfId="0" applyFont="1"/>
    <xf numFmtId="0" fontId="3" fillId="2" borderId="0" xfId="0" applyFont="1" applyFill="1"/>
    <xf numFmtId="0" fontId="2" fillId="0" borderId="1" xfId="0" applyFont="1" applyBorder="1"/>
    <xf numFmtId="0" fontId="4" fillId="0" borderId="1" xfId="0" applyFont="1" applyBorder="1" applyAlignment="1">
      <alignment horizontal="center"/>
    </xf>
    <xf numFmtId="0" fontId="4" fillId="0" borderId="1" xfId="0" applyFont="1" applyBorder="1" applyAlignment="1">
      <alignment horizontal="center" wrapText="1"/>
    </xf>
    <xf numFmtId="0" fontId="4" fillId="3" borderId="1" xfId="0" applyFont="1" applyFill="1" applyBorder="1"/>
    <xf numFmtId="0" fontId="3" fillId="0" borderId="1" xfId="0" applyFont="1" applyBorder="1" applyAlignment="1">
      <alignment horizontal="left"/>
    </xf>
    <xf numFmtId="0" fontId="3" fillId="0" borderId="1" xfId="0" applyFont="1" applyBorder="1"/>
    <xf numFmtId="21" fontId="3" fillId="3" borderId="1" xfId="0" applyNumberFormat="1" applyFont="1" applyFill="1" applyBorder="1" applyAlignment="1">
      <alignment horizontal="center"/>
    </xf>
    <xf numFmtId="21" fontId="3" fillId="0" borderId="1" xfId="0" applyNumberFormat="1" applyFont="1" applyBorder="1" applyAlignment="1">
      <alignment horizontal="center"/>
    </xf>
    <xf numFmtId="0" fontId="3" fillId="3" borderId="1" xfId="0" applyFont="1" applyFill="1" applyBorder="1" applyAlignment="1">
      <alignment horizontal="left"/>
    </xf>
    <xf numFmtId="0" fontId="3" fillId="0" borderId="1" xfId="0" applyFont="1" applyBorder="1" applyAlignment="1">
      <alignment horizontal="center"/>
    </xf>
    <xf numFmtId="0" fontId="0" fillId="4" borderId="0" xfId="0" applyFill="1"/>
    <xf numFmtId="14" fontId="0" fillId="0" borderId="0" xfId="0" applyNumberFormat="1"/>
    <xf numFmtId="0" fontId="5" fillId="0" borderId="0" xfId="0" applyFont="1" applyAlignment="1">
      <alignment vertical="center"/>
    </xf>
    <xf numFmtId="0" fontId="0" fillId="0" borderId="0" xfId="0" applyAlignment="1">
      <alignment horizontal="left" vertical="center" indent="1"/>
    </xf>
    <xf numFmtId="0" fontId="2" fillId="0" borderId="3" xfId="0" applyFont="1" applyBorder="1" applyAlignment="1">
      <alignment horizontal="left"/>
    </xf>
    <xf numFmtId="0" fontId="0" fillId="5" borderId="0" xfId="0" applyFill="1"/>
    <xf numFmtId="14" fontId="0" fillId="5" borderId="0" xfId="0" applyNumberFormat="1" applyFill="1"/>
    <xf numFmtId="0" fontId="7" fillId="6" borderId="4" xfId="0" applyFont="1" applyFill="1" applyBorder="1"/>
    <xf numFmtId="0" fontId="7" fillId="6" borderId="5" xfId="0" applyFont="1" applyFill="1" applyBorder="1"/>
    <xf numFmtId="0" fontId="0" fillId="7" borderId="0" xfId="0" applyFill="1"/>
    <xf numFmtId="14" fontId="0" fillId="0" borderId="1" xfId="0" applyNumberForma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vertical="center"/>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14" fontId="8"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9" borderId="1" xfId="0" applyFont="1" applyFill="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10" borderId="1" xfId="0" applyFont="1" applyFill="1" applyBorder="1" applyAlignment="1">
      <alignment horizontal="left" vertical="center"/>
    </xf>
    <xf numFmtId="14" fontId="10" fillId="0" borderId="1" xfId="0" applyNumberFormat="1" applyFont="1" applyBorder="1" applyAlignment="1">
      <alignment wrapText="1"/>
    </xf>
    <xf numFmtId="0" fontId="2" fillId="7" borderId="1" xfId="0" applyFont="1" applyFill="1" applyBorder="1" applyAlignment="1">
      <alignment horizontal="left" vertical="center"/>
    </xf>
    <xf numFmtId="0" fontId="2" fillId="9" borderId="0" xfId="0" applyFont="1" applyFill="1" applyAlignment="1">
      <alignment horizontal="lef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horizontal="right" vertical="center"/>
    </xf>
    <xf numFmtId="0" fontId="0" fillId="0" borderId="15" xfId="0" applyBorder="1" applyAlignment="1">
      <alignment vertical="center"/>
    </xf>
    <xf numFmtId="0" fontId="0" fillId="0" borderId="8" xfId="0" applyBorder="1" applyAlignment="1">
      <alignment horizontal="right" vertical="center"/>
    </xf>
    <xf numFmtId="0" fontId="0" fillId="0" borderId="9" xfId="0" applyBorder="1" applyAlignment="1">
      <alignment vertical="center"/>
    </xf>
    <xf numFmtId="0" fontId="0" fillId="0" borderId="10" xfId="0" applyBorder="1" applyAlignment="1">
      <alignment horizontal="right" vertical="center"/>
    </xf>
    <xf numFmtId="0" fontId="0" fillId="0" borderId="11" xfId="0" applyBorder="1" applyAlignment="1">
      <alignment vertical="center"/>
    </xf>
    <xf numFmtId="0" fontId="11" fillId="0" borderId="1" xfId="0" applyFont="1" applyBorder="1" applyAlignment="1">
      <alignment horizontal="center" vertical="center"/>
    </xf>
    <xf numFmtId="0" fontId="2" fillId="0" borderId="1" xfId="0" applyFont="1" applyBorder="1" applyAlignment="1">
      <alignment vertical="center" wrapText="1"/>
    </xf>
    <xf numFmtId="0" fontId="12" fillId="0" borderId="1" xfId="0" applyFont="1" applyBorder="1" applyAlignment="1">
      <alignment vertical="center" wrapText="1"/>
    </xf>
    <xf numFmtId="14" fontId="2" fillId="9" borderId="1" xfId="0" applyNumberFormat="1" applyFont="1" applyFill="1" applyBorder="1" applyAlignment="1">
      <alignment horizontal="center" vertical="center"/>
    </xf>
    <xf numFmtId="0" fontId="2" fillId="0" borderId="0" xfId="0" applyFont="1" applyAlignment="1">
      <alignment horizontal="center" vertical="center"/>
    </xf>
    <xf numFmtId="0" fontId="2" fillId="7" borderId="1" xfId="0" applyFont="1" applyFill="1" applyBorder="1" applyAlignment="1">
      <alignment vertical="center"/>
    </xf>
    <xf numFmtId="0" fontId="0" fillId="0" borderId="16" xfId="0" applyBorder="1" applyAlignment="1">
      <alignment horizontal="center" vertical="center" wrapText="1"/>
    </xf>
    <xf numFmtId="0" fontId="13" fillId="9" borderId="1" xfId="0" applyFont="1" applyFill="1" applyBorder="1" applyAlignment="1">
      <alignment horizontal="left" vertical="center"/>
    </xf>
    <xf numFmtId="0" fontId="0" fillId="0" borderId="0" xfId="0" applyAlignment="1">
      <alignment horizontal="center" vertical="center"/>
    </xf>
    <xf numFmtId="14" fontId="0" fillId="0" borderId="0" xfId="0" applyNumberFormat="1" applyAlignment="1">
      <alignment vertical="center"/>
    </xf>
    <xf numFmtId="0" fontId="0" fillId="0" borderId="17" xfId="0" applyBorder="1" applyAlignment="1">
      <alignment horizontal="left" vertical="center" wrapText="1"/>
    </xf>
    <xf numFmtId="0" fontId="0" fillId="0" borderId="0" xfId="0" applyAlignment="1">
      <alignment horizontal="left" vertical="center"/>
    </xf>
    <xf numFmtId="0" fontId="0" fillId="0" borderId="18" xfId="0" applyBorder="1" applyAlignment="1">
      <alignment horizontal="left" vertical="center"/>
    </xf>
    <xf numFmtId="0" fontId="2" fillId="0" borderId="19" xfId="0" applyFont="1" applyBorder="1" applyAlignment="1">
      <alignment horizontal="center" vertical="center" wrapText="1"/>
    </xf>
    <xf numFmtId="0" fontId="14" fillId="11" borderId="1" xfId="0" applyFont="1" applyFill="1" applyBorder="1" applyAlignment="1">
      <alignment horizontal="center" vertical="center" wrapText="1"/>
    </xf>
    <xf numFmtId="14" fontId="2" fillId="0" borderId="1" xfId="0" applyNumberFormat="1" applyFont="1" applyBorder="1"/>
    <xf numFmtId="14" fontId="2" fillId="2" borderId="1" xfId="0" applyNumberFormat="1" applyFont="1" applyFill="1" applyBorder="1"/>
    <xf numFmtId="0" fontId="2" fillId="2" borderId="1" xfId="0" applyFont="1" applyFill="1" applyBorder="1"/>
    <xf numFmtId="0" fontId="2" fillId="2" borderId="1" xfId="0" applyFont="1" applyFill="1" applyBorder="1" applyAlignment="1">
      <alignment vertical="center"/>
    </xf>
    <xf numFmtId="14" fontId="2" fillId="2" borderId="1" xfId="0" applyNumberFormat="1" applyFont="1" applyFill="1" applyBorder="1" applyAlignment="1">
      <alignment vertical="center"/>
    </xf>
    <xf numFmtId="14" fontId="2" fillId="12" borderId="1" xfId="0" applyNumberFormat="1" applyFont="1" applyFill="1" applyBorder="1" applyAlignment="1">
      <alignment vertical="center"/>
    </xf>
    <xf numFmtId="14" fontId="2" fillId="0" borderId="1" xfId="0" applyNumberFormat="1" applyFont="1" applyBorder="1" applyAlignment="1">
      <alignment vertical="center"/>
    </xf>
    <xf numFmtId="0" fontId="2" fillId="0" borderId="1" xfId="0" applyFont="1" applyBorder="1" applyAlignment="1">
      <alignment wrapText="1"/>
    </xf>
    <xf numFmtId="14" fontId="15" fillId="13" borderId="1" xfId="0" applyNumberFormat="1" applyFont="1" applyFill="1" applyBorder="1" applyAlignment="1">
      <alignment vertical="center"/>
    </xf>
    <xf numFmtId="0" fontId="15" fillId="0" borderId="1" xfId="0" applyFont="1" applyBorder="1" applyAlignment="1">
      <alignment vertical="center"/>
    </xf>
    <xf numFmtId="0" fontId="2" fillId="13" borderId="1" xfId="0" applyFont="1" applyFill="1" applyBorder="1" applyAlignment="1">
      <alignment wrapText="1"/>
    </xf>
    <xf numFmtId="14" fontId="15" fillId="12" borderId="1" xfId="0" applyNumberFormat="1" applyFont="1" applyFill="1" applyBorder="1" applyAlignment="1">
      <alignment vertical="center"/>
    </xf>
    <xf numFmtId="14" fontId="15" fillId="0" borderId="1" xfId="0" applyNumberFormat="1" applyFont="1" applyBorder="1" applyAlignment="1">
      <alignment vertical="center"/>
    </xf>
    <xf numFmtId="14" fontId="2" fillId="13" borderId="1" xfId="0" applyNumberFormat="1" applyFont="1" applyFill="1" applyBorder="1" applyAlignment="1">
      <alignment vertical="center"/>
    </xf>
    <xf numFmtId="14" fontId="15" fillId="0" borderId="1" xfId="0" applyNumberFormat="1" applyFont="1" applyBorder="1"/>
    <xf numFmtId="0" fontId="15" fillId="0" borderId="1" xfId="0" applyFont="1" applyBorder="1"/>
    <xf numFmtId="0" fontId="16" fillId="0" borderId="1" xfId="0" applyFont="1" applyBorder="1"/>
    <xf numFmtId="14" fontId="2" fillId="0" borderId="1" xfId="0" applyNumberFormat="1" applyFont="1" applyBorder="1" applyAlignment="1">
      <alignment horizontal="right" vertical="center"/>
    </xf>
    <xf numFmtId="0" fontId="2" fillId="0" borderId="1" xfId="0" applyFont="1" applyBorder="1" applyAlignment="1">
      <alignment horizontal="right" vertical="center"/>
    </xf>
    <xf numFmtId="0" fontId="2" fillId="0" borderId="3" xfId="0" applyFont="1" applyBorder="1"/>
    <xf numFmtId="14" fontId="2" fillId="0" borderId="3" xfId="0" applyNumberFormat="1" applyFont="1" applyBorder="1"/>
    <xf numFmtId="0" fontId="2" fillId="0" borderId="24" xfId="0" applyFont="1" applyBorder="1" applyAlignment="1">
      <alignment vertical="center"/>
    </xf>
    <xf numFmtId="14" fontId="2" fillId="0" borderId="24" xfId="0" applyNumberFormat="1" applyFont="1" applyBorder="1" applyAlignment="1">
      <alignment vertical="center"/>
    </xf>
    <xf numFmtId="0" fontId="2" fillId="0" borderId="24" xfId="0" applyFont="1" applyBorder="1"/>
    <xf numFmtId="14" fontId="2" fillId="0" borderId="24" xfId="0" applyNumberFormat="1" applyFont="1" applyBorder="1"/>
    <xf numFmtId="14" fontId="2" fillId="12" borderId="24" xfId="0" applyNumberFormat="1" applyFont="1" applyFill="1" applyBorder="1" applyAlignment="1">
      <alignment vertical="center"/>
    </xf>
    <xf numFmtId="0" fontId="2" fillId="0" borderId="24" xfId="0" applyFont="1" applyBorder="1" applyAlignment="1">
      <alignment wrapText="1"/>
    </xf>
    <xf numFmtId="0" fontId="2" fillId="2" borderId="24" xfId="0" applyFont="1" applyFill="1" applyBorder="1"/>
    <xf numFmtId="14" fontId="2" fillId="2" borderId="24" xfId="0" applyNumberFormat="1" applyFont="1" applyFill="1" applyBorder="1"/>
    <xf numFmtId="0" fontId="2" fillId="2" borderId="3" xfId="0" applyFont="1" applyFill="1" applyBorder="1" applyAlignment="1">
      <alignment vertical="center"/>
    </xf>
    <xf numFmtId="14" fontId="2" fillId="2" borderId="3" xfId="0" applyNumberFormat="1" applyFont="1" applyFill="1" applyBorder="1" applyAlignment="1">
      <alignment vertical="center"/>
    </xf>
    <xf numFmtId="0" fontId="2" fillId="0" borderId="3" xfId="0" applyFont="1" applyBorder="1" applyAlignment="1">
      <alignment vertical="center"/>
    </xf>
    <xf numFmtId="14" fontId="2" fillId="0" borderId="3" xfId="0" applyNumberFormat="1" applyFont="1" applyBorder="1" applyAlignment="1">
      <alignment vertical="center"/>
    </xf>
    <xf numFmtId="0" fontId="2" fillId="0" borderId="3" xfId="0" applyFont="1" applyBorder="1" applyAlignment="1">
      <alignment wrapText="1"/>
    </xf>
    <xf numFmtId="0" fontId="2" fillId="0" borderId="25" xfId="0" applyFont="1" applyBorder="1"/>
    <xf numFmtId="14" fontId="2" fillId="0" borderId="25" xfId="0" applyNumberFormat="1" applyFont="1" applyBorder="1"/>
    <xf numFmtId="0" fontId="15" fillId="14" borderId="1" xfId="0" applyFont="1" applyFill="1" applyBorder="1" applyAlignment="1">
      <alignment vertical="center"/>
    </xf>
    <xf numFmtId="0" fontId="2" fillId="14" borderId="1" xfId="0" applyFont="1" applyFill="1" applyBorder="1" applyAlignment="1">
      <alignment vertical="center"/>
    </xf>
    <xf numFmtId="14" fontId="15" fillId="14" borderId="1" xfId="0" applyNumberFormat="1" applyFont="1" applyFill="1" applyBorder="1" applyAlignment="1">
      <alignment vertical="center"/>
    </xf>
    <xf numFmtId="14" fontId="2" fillId="14" borderId="1" xfId="0" applyNumberFormat="1" applyFont="1" applyFill="1" applyBorder="1" applyAlignment="1">
      <alignment vertical="center"/>
    </xf>
    <xf numFmtId="0" fontId="2" fillId="14" borderId="1" xfId="0" applyFont="1" applyFill="1" applyBorder="1" applyAlignment="1">
      <alignment wrapText="1"/>
    </xf>
    <xf numFmtId="0" fontId="16" fillId="0" borderId="3" xfId="0" applyFont="1" applyBorder="1"/>
    <xf numFmtId="0" fontId="16" fillId="0" borderId="1" xfId="0" applyFont="1" applyBorder="1" applyAlignment="1">
      <alignment vertical="center"/>
    </xf>
    <xf numFmtId="0" fontId="2" fillId="14" borderId="24" xfId="0" applyFont="1" applyFill="1" applyBorder="1" applyAlignment="1">
      <alignment vertical="center"/>
    </xf>
    <xf numFmtId="0" fontId="16" fillId="14" borderId="24" xfId="0" applyFont="1" applyFill="1" applyBorder="1" applyAlignment="1">
      <alignment vertical="center"/>
    </xf>
    <xf numFmtId="14" fontId="2" fillId="14" borderId="24" xfId="0" applyNumberFormat="1" applyFont="1" applyFill="1" applyBorder="1" applyAlignment="1">
      <alignment vertical="center"/>
    </xf>
    <xf numFmtId="0" fontId="2" fillId="14" borderId="25" xfId="0" applyFont="1" applyFill="1" applyBorder="1" applyAlignment="1">
      <alignment vertical="center"/>
    </xf>
    <xf numFmtId="0" fontId="2" fillId="14" borderId="24" xfId="0" applyFont="1" applyFill="1" applyBorder="1" applyAlignment="1">
      <alignment wrapText="1"/>
    </xf>
    <xf numFmtId="0" fontId="16" fillId="0" borderId="24" xfId="0" applyFont="1" applyBorder="1"/>
    <xf numFmtId="0" fontId="16" fillId="0" borderId="25" xfId="0" applyFont="1" applyBorder="1"/>
    <xf numFmtId="14" fontId="2" fillId="0" borderId="0" xfId="0" applyNumberFormat="1" applyFont="1"/>
    <xf numFmtId="14" fontId="2" fillId="15" borderId="3" xfId="0" applyNumberFormat="1" applyFont="1" applyFill="1" applyBorder="1"/>
    <xf numFmtId="14" fontId="17" fillId="0" borderId="1" xfId="0" applyNumberFormat="1" applyFont="1" applyBorder="1"/>
    <xf numFmtId="0" fontId="17" fillId="0" borderId="1" xfId="0" applyFont="1" applyBorder="1"/>
    <xf numFmtId="0" fontId="2" fillId="0" borderId="26" xfId="0" applyFont="1" applyBorder="1"/>
    <xf numFmtId="0" fontId="16" fillId="0" borderId="26" xfId="0" applyFont="1" applyBorder="1"/>
    <xf numFmtId="0" fontId="2" fillId="0" borderId="20" xfId="0" applyFont="1" applyBorder="1"/>
    <xf numFmtId="14" fontId="2" fillId="0" borderId="20" xfId="0" applyNumberFormat="1" applyFont="1" applyBorder="1"/>
    <xf numFmtId="0" fontId="2" fillId="0" borderId="17" xfId="0" applyFont="1" applyBorder="1"/>
    <xf numFmtId="0" fontId="3" fillId="2" borderId="2" xfId="0" applyFont="1" applyFill="1" applyBorder="1"/>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4" fillId="11" borderId="0" xfId="0" applyFont="1" applyFill="1" applyAlignment="1">
      <alignment horizontal="center" vertical="center" wrapText="1"/>
    </xf>
    <xf numFmtId="0" fontId="14" fillId="11" borderId="20"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14" fillId="11" borderId="23" xfId="0" applyFont="1" applyFill="1" applyBorder="1" applyAlignment="1">
      <alignment horizontal="center" vertical="center" wrapText="1"/>
    </xf>
    <xf numFmtId="0" fontId="14" fillId="11" borderId="21"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17" xfId="0" applyFont="1" applyFill="1" applyBorder="1" applyAlignment="1">
      <alignment horizontal="center" vertical="center"/>
    </xf>
    <xf numFmtId="0" fontId="14" fillId="11" borderId="2" xfId="0" applyFont="1" applyFill="1" applyBorder="1" applyAlignment="1">
      <alignment horizontal="center" vertical="center"/>
    </xf>
  </cellXfs>
  <cellStyles count="1">
    <cellStyle name="Normal" xfId="0" builtinId="0"/>
  </cellStyles>
  <dxfs count="4">
    <dxf>
      <font>
        <color rgb="FF9C0006"/>
      </font>
      <fill>
        <patternFill>
          <bgColor rgb="FFFFC7CE"/>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uis Guzman Malavé" id="{181C5DA4-80CB-4DE3-8771-076659E74376}" userId="S::lguzman@totalpacificgroup.com::f3f18433-3e79-4bd3-9e01-92e93c90506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35</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20EA16-1B48-4226-83E1-113C08586D21}" name="Tabla1" displayName="Tabla1" ref="A1:F81" totalsRowShown="0">
  <autoFilter ref="A1:F81" xr:uid="{0520EA16-1B48-4226-83E1-113C08586D21}"/>
  <tableColumns count="6">
    <tableColumn id="1" xr3:uid="{419EF39E-4194-405B-9530-FF624E831E3B}" name=" ID_ORDEN " dataDxfId="3">
      <calculatedColumnFormula>ORDENES!A2</calculatedColumnFormula>
    </tableColumn>
    <tableColumn id="2" xr3:uid="{F499CE53-E713-47F1-BD23-C5135AC83F5D}" name=" Fecha "/>
    <tableColumn id="3" xr3:uid="{C16F7C06-61FE-48CF-AB29-3AD6A011C2B8}" name=" Técnico "/>
    <tableColumn id="4" xr3:uid="{2D1FAD13-C5EF-4198-BC54-F2C4E28986B1}" name="Cliente" dataDxfId="2"/>
    <tableColumn id="5" xr3:uid="{B31D3D4D-E650-4FB3-A3B9-2C8735A38E20}" name="Local" dataDxfId="1"/>
    <tableColumn id="6" xr3:uid="{3133F8A0-62BD-49D4-9A37-01E39D4E14D8}" name="Resolució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98" dT="2026-03-18T13:15:31.36" personId="{181C5DA4-80CB-4DE3-8771-076659E74376}" id="{E93F5974-FBE3-47F0-BED7-81A60DE3A788}">
    <text>no hay camara en consola por lo que igual llevan una camara en caso de utilizarse</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EAD8-A2C5-4FDE-A9FB-9CDCC3A56622}">
  <dimension ref="A1:A102"/>
  <sheetViews>
    <sheetView workbookViewId="0">
      <selection activeCell="F99" sqref="F99"/>
    </sheetView>
  </sheetViews>
  <sheetFormatPr baseColWidth="10" defaultColWidth="11.42578125" defaultRowHeight="15" x14ac:dyDescent="0.25"/>
  <sheetData>
    <row r="1" spans="1:1" x14ac:dyDescent="0.25">
      <c r="A1" t="s">
        <v>0</v>
      </c>
    </row>
    <row r="2" spans="1:1" x14ac:dyDescent="0.25">
      <c r="A2" t="s">
        <v>1</v>
      </c>
    </row>
    <row r="3" spans="1:1" x14ac:dyDescent="0.25">
      <c r="A3" t="s">
        <v>2</v>
      </c>
    </row>
    <row r="4" spans="1:1" x14ac:dyDescent="0.25">
      <c r="A4" t="s">
        <v>3</v>
      </c>
    </row>
    <row r="6" spans="1:1" ht="24" x14ac:dyDescent="0.25">
      <c r="A6" s="16" t="s">
        <v>4</v>
      </c>
    </row>
    <row r="8" spans="1:1" x14ac:dyDescent="0.25">
      <c r="A8" t="s">
        <v>5</v>
      </c>
    </row>
    <row r="9" spans="1:1" x14ac:dyDescent="0.25">
      <c r="A9" t="s">
        <v>6</v>
      </c>
    </row>
    <row r="11" spans="1:1" x14ac:dyDescent="0.25">
      <c r="A11" t="s">
        <v>7</v>
      </c>
    </row>
    <row r="13" spans="1:1" ht="24" x14ac:dyDescent="0.25">
      <c r="A13" s="16" t="s">
        <v>8</v>
      </c>
    </row>
    <row r="15" spans="1:1" x14ac:dyDescent="0.25">
      <c r="A15" t="s">
        <v>9</v>
      </c>
    </row>
    <row r="16" spans="1:1" x14ac:dyDescent="0.25">
      <c r="A16" t="s">
        <v>10</v>
      </c>
    </row>
    <row r="17" spans="1:1" x14ac:dyDescent="0.25">
      <c r="A17" t="s">
        <v>11</v>
      </c>
    </row>
    <row r="21" spans="1:1" ht="24" x14ac:dyDescent="0.25">
      <c r="A21" s="16" t="s">
        <v>12</v>
      </c>
    </row>
    <row r="23" spans="1:1" x14ac:dyDescent="0.25">
      <c r="A23" t="s">
        <v>13</v>
      </c>
    </row>
    <row r="24" spans="1:1" x14ac:dyDescent="0.25">
      <c r="A24" t="s">
        <v>14</v>
      </c>
    </row>
    <row r="25" spans="1:1" x14ac:dyDescent="0.25">
      <c r="A25" t="s">
        <v>15</v>
      </c>
    </row>
    <row r="27" spans="1:1" x14ac:dyDescent="0.25">
      <c r="A27" t="s">
        <v>16</v>
      </c>
    </row>
    <row r="29" spans="1:1" x14ac:dyDescent="0.25">
      <c r="A29" t="s">
        <v>17</v>
      </c>
    </row>
    <row r="30" spans="1:1" x14ac:dyDescent="0.25">
      <c r="A30" t="s">
        <v>18</v>
      </c>
    </row>
    <row r="31" spans="1:1" x14ac:dyDescent="0.25">
      <c r="A31" t="s">
        <v>19</v>
      </c>
    </row>
    <row r="33" spans="1:1" x14ac:dyDescent="0.25">
      <c r="A33" t="s">
        <v>20</v>
      </c>
    </row>
    <row r="37" spans="1:1" ht="24" x14ac:dyDescent="0.25">
      <c r="A37" s="16" t="s">
        <v>21</v>
      </c>
    </row>
    <row r="39" spans="1:1" x14ac:dyDescent="0.25">
      <c r="A39" t="s">
        <v>22</v>
      </c>
    </row>
    <row r="40" spans="1:1" x14ac:dyDescent="0.25">
      <c r="A40" t="s">
        <v>23</v>
      </c>
    </row>
    <row r="42" spans="1:1" x14ac:dyDescent="0.25">
      <c r="A42" t="s">
        <v>24</v>
      </c>
    </row>
    <row r="46" spans="1:1" ht="24" x14ac:dyDescent="0.25">
      <c r="A46" s="16" t="s">
        <v>25</v>
      </c>
    </row>
    <row r="48" spans="1:1" x14ac:dyDescent="0.25">
      <c r="A48" t="s">
        <v>26</v>
      </c>
    </row>
    <row r="49" spans="1:1" x14ac:dyDescent="0.25">
      <c r="A49" t="s">
        <v>27</v>
      </c>
    </row>
    <row r="50" spans="1:1" x14ac:dyDescent="0.25">
      <c r="A50" t="s">
        <v>28</v>
      </c>
    </row>
    <row r="52" spans="1:1" x14ac:dyDescent="0.25">
      <c r="A52" t="s">
        <v>29</v>
      </c>
    </row>
    <row r="54" spans="1:1" x14ac:dyDescent="0.25">
      <c r="A54" t="s">
        <v>30</v>
      </c>
    </row>
    <row r="55" spans="1:1" x14ac:dyDescent="0.25">
      <c r="A55" t="s">
        <v>31</v>
      </c>
    </row>
    <row r="56" spans="1:1" x14ac:dyDescent="0.25">
      <c r="A56" t="s">
        <v>32</v>
      </c>
    </row>
    <row r="57" spans="1:1" x14ac:dyDescent="0.25">
      <c r="A57" t="s">
        <v>33</v>
      </c>
    </row>
    <row r="59" spans="1:1" ht="18" x14ac:dyDescent="0.25">
      <c r="A59" s="1" t="s">
        <v>34</v>
      </c>
    </row>
    <row r="61" spans="1:1" x14ac:dyDescent="0.25">
      <c r="A61" t="s">
        <v>35</v>
      </c>
    </row>
    <row r="63" spans="1:1" x14ac:dyDescent="0.25">
      <c r="A63" t="s">
        <v>36</v>
      </c>
    </row>
    <row r="64" spans="1:1" x14ac:dyDescent="0.25">
      <c r="A64" t="s">
        <v>37</v>
      </c>
    </row>
    <row r="66" spans="1:1" x14ac:dyDescent="0.25">
      <c r="A66" t="s">
        <v>38</v>
      </c>
    </row>
    <row r="68" spans="1:1" x14ac:dyDescent="0.25">
      <c r="A68" t="s">
        <v>39</v>
      </c>
    </row>
    <row r="69" spans="1:1" x14ac:dyDescent="0.25">
      <c r="A69" t="s">
        <v>40</v>
      </c>
    </row>
    <row r="71" spans="1:1" x14ac:dyDescent="0.25">
      <c r="A71" t="s">
        <v>41</v>
      </c>
    </row>
    <row r="73" spans="1:1" x14ac:dyDescent="0.25">
      <c r="A73" t="s">
        <v>42</v>
      </c>
    </row>
    <row r="74" spans="1:1" x14ac:dyDescent="0.25">
      <c r="A74" t="s">
        <v>43</v>
      </c>
    </row>
    <row r="75" spans="1:1" x14ac:dyDescent="0.25">
      <c r="A75" t="s">
        <v>44</v>
      </c>
    </row>
    <row r="77" spans="1:1" x14ac:dyDescent="0.25">
      <c r="A77" t="s">
        <v>45</v>
      </c>
    </row>
    <row r="81" spans="1:1" ht="18" x14ac:dyDescent="0.25">
      <c r="A81" s="1" t="s">
        <v>46</v>
      </c>
    </row>
    <row r="83" spans="1:1" x14ac:dyDescent="0.25">
      <c r="A83" t="s">
        <v>47</v>
      </c>
    </row>
    <row r="85" spans="1:1" x14ac:dyDescent="0.25">
      <c r="A85" t="s">
        <v>48</v>
      </c>
    </row>
    <row r="87" spans="1:1" x14ac:dyDescent="0.25">
      <c r="A87" t="s">
        <v>49</v>
      </c>
    </row>
    <row r="91" spans="1:1" x14ac:dyDescent="0.25">
      <c r="A91" t="s">
        <v>50</v>
      </c>
    </row>
    <row r="92" spans="1:1" x14ac:dyDescent="0.25">
      <c r="A92" t="s">
        <v>51</v>
      </c>
    </row>
    <row r="94" spans="1:1" x14ac:dyDescent="0.25">
      <c r="A94" t="s">
        <v>52</v>
      </c>
    </row>
    <row r="96" spans="1:1" x14ac:dyDescent="0.25">
      <c r="A96" t="s">
        <v>53</v>
      </c>
    </row>
    <row r="98" spans="1:1" x14ac:dyDescent="0.25">
      <c r="A98" t="s">
        <v>54</v>
      </c>
    </row>
    <row r="99" spans="1:1" x14ac:dyDescent="0.25">
      <c r="A99" s="17"/>
    </row>
    <row r="100" spans="1:1" x14ac:dyDescent="0.25">
      <c r="A100" s="17" t="s">
        <v>55</v>
      </c>
    </row>
    <row r="101" spans="1:1" x14ac:dyDescent="0.25">
      <c r="A101" s="17"/>
    </row>
    <row r="102" spans="1:1" x14ac:dyDescent="0.25">
      <c r="A102" s="17"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BCC2D-9ED6-4061-8C68-FB782F12FABF}">
  <dimension ref="A2:D10"/>
  <sheetViews>
    <sheetView topLeftCell="A2" workbookViewId="0">
      <selection activeCell="A13" sqref="A13"/>
    </sheetView>
  </sheetViews>
  <sheetFormatPr baseColWidth="10" defaultColWidth="11.42578125" defaultRowHeight="15" x14ac:dyDescent="0.25"/>
  <sheetData>
    <row r="2" spans="1:4" x14ac:dyDescent="0.25">
      <c r="A2" t="s">
        <v>57</v>
      </c>
    </row>
    <row r="3" spans="1:4" x14ac:dyDescent="0.25">
      <c r="A3" t="s">
        <v>58</v>
      </c>
    </row>
    <row r="4" spans="1:4" x14ac:dyDescent="0.25">
      <c r="A4" t="s">
        <v>59</v>
      </c>
      <c r="B4" t="s">
        <v>60</v>
      </c>
      <c r="C4" t="s">
        <v>61</v>
      </c>
    </row>
    <row r="5" spans="1:4" x14ac:dyDescent="0.25">
      <c r="A5" t="e">
        <f>_xlfn.XLOOKUP(B3,D11:E14,)</f>
        <v>#VALUE!</v>
      </c>
      <c r="B5" t="e">
        <f t="shared" ref="B5:C5" si="0">_xlfn.XLOOKUP(C3,E11:F14,)</f>
        <v>#VALUE!</v>
      </c>
      <c r="C5" t="e">
        <f t="shared" si="0"/>
        <v>#VALUE!</v>
      </c>
      <c r="D5" t="e">
        <f>_xlfn.XLOOKUP(E3,G11:H14,)</f>
        <v>#VALUE!</v>
      </c>
    </row>
    <row r="6" spans="1:4" x14ac:dyDescent="0.25">
      <c r="A6" t="e">
        <f t="shared" ref="A6:A10" si="1">_xlfn.XLOOKUP(B4,D12:E15,)</f>
        <v>#VALUE!</v>
      </c>
      <c r="B6" t="e">
        <f t="shared" ref="B6:B10" si="2">_xlfn.XLOOKUP(C4,E12:F15,)</f>
        <v>#VALUE!</v>
      </c>
      <c r="C6" t="e">
        <f t="shared" ref="C6:D10" si="3">_xlfn.XLOOKUP(D4,F12:G15,)</f>
        <v>#VALUE!</v>
      </c>
      <c r="D6" t="e">
        <f t="shared" si="3"/>
        <v>#VALUE!</v>
      </c>
    </row>
    <row r="7" spans="1:4" x14ac:dyDescent="0.25">
      <c r="A7" t="e">
        <f t="shared" si="1"/>
        <v>#VALUE!</v>
      </c>
      <c r="B7" t="e">
        <f t="shared" si="2"/>
        <v>#VALUE!</v>
      </c>
      <c r="C7" t="e">
        <f t="shared" si="3"/>
        <v>#VALUE!</v>
      </c>
      <c r="D7" t="e">
        <f t="shared" si="3"/>
        <v>#VALUE!</v>
      </c>
    </row>
    <row r="8" spans="1:4" x14ac:dyDescent="0.25">
      <c r="A8" t="e">
        <f t="shared" si="1"/>
        <v>#VALUE!</v>
      </c>
      <c r="B8" t="e">
        <f t="shared" si="2"/>
        <v>#VALUE!</v>
      </c>
      <c r="C8" t="e">
        <f t="shared" si="3"/>
        <v>#VALUE!</v>
      </c>
      <c r="D8" t="e">
        <f t="shared" si="3"/>
        <v>#VALUE!</v>
      </c>
    </row>
    <row r="9" spans="1:4" x14ac:dyDescent="0.25">
      <c r="A9" t="e">
        <f t="shared" si="1"/>
        <v>#VALUE!</v>
      </c>
      <c r="B9" t="e">
        <f t="shared" si="2"/>
        <v>#VALUE!</v>
      </c>
      <c r="C9" t="e">
        <f t="shared" si="3"/>
        <v>#VALUE!</v>
      </c>
      <c r="D9" t="e">
        <f t="shared" si="3"/>
        <v>#VALUE!</v>
      </c>
    </row>
    <row r="10" spans="1:4" x14ac:dyDescent="0.25">
      <c r="A10" t="e">
        <f t="shared" si="1"/>
        <v>#VALUE!</v>
      </c>
      <c r="B10" t="e">
        <f t="shared" si="2"/>
        <v>#VALUE!</v>
      </c>
      <c r="C10" t="e">
        <f t="shared" si="3"/>
        <v>#VALUE!</v>
      </c>
      <c r="D10" t="e">
        <f t="shared" si="3"/>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B0BD-37B3-4D0C-BB76-9D4DFEBB98CA}">
  <dimension ref="A1:N477"/>
  <sheetViews>
    <sheetView tabSelected="1" workbookViewId="0">
      <selection activeCell="B39" sqref="B39"/>
    </sheetView>
  </sheetViews>
  <sheetFormatPr baseColWidth="10" defaultColWidth="11.42578125" defaultRowHeight="15" x14ac:dyDescent="0.25"/>
  <cols>
    <col min="1" max="1" width="12.7109375" bestFit="1" customWidth="1"/>
    <col min="2" max="2" width="12.7109375" customWidth="1"/>
    <col min="3" max="3" width="14.5703125" bestFit="1" customWidth="1"/>
    <col min="4" max="4" width="53.28515625" bestFit="1" customWidth="1"/>
    <col min="7" max="9" width="11.42578125" style="19"/>
    <col min="10" max="10" width="13.7109375" bestFit="1" customWidth="1"/>
    <col min="11" max="11" width="11.42578125" style="23"/>
    <col min="12" max="12" width="39.28515625" customWidth="1"/>
    <col min="13" max="13" width="11.42578125" style="19"/>
    <col min="14" max="14" width="17.5703125" style="19" bestFit="1" customWidth="1"/>
  </cols>
  <sheetData>
    <row r="1" spans="1:14" x14ac:dyDescent="0.25">
      <c r="A1" t="s">
        <v>62</v>
      </c>
      <c r="B1" t="s">
        <v>462</v>
      </c>
      <c r="C1" t="s">
        <v>63</v>
      </c>
      <c r="D1" t="s">
        <v>64</v>
      </c>
      <c r="E1" t="s">
        <v>65</v>
      </c>
      <c r="F1" t="s">
        <v>66</v>
      </c>
      <c r="G1" s="19" t="s">
        <v>67</v>
      </c>
      <c r="H1" s="19" t="s">
        <v>68</v>
      </c>
      <c r="I1" s="19" t="s">
        <v>69</v>
      </c>
      <c r="J1" t="s">
        <v>70</v>
      </c>
      <c r="K1" s="23" t="s">
        <v>71</v>
      </c>
      <c r="L1" t="s">
        <v>72</v>
      </c>
      <c r="M1" s="19" t="s">
        <v>73</v>
      </c>
      <c r="N1" s="19" t="s">
        <v>74</v>
      </c>
    </row>
    <row r="2" spans="1:14" x14ac:dyDescent="0.25">
      <c r="A2" t="s">
        <v>75</v>
      </c>
      <c r="C2" t="s">
        <v>76</v>
      </c>
      <c r="D2" t="s">
        <v>77</v>
      </c>
      <c r="E2" t="s">
        <v>78</v>
      </c>
      <c r="F2" t="s">
        <v>79</v>
      </c>
      <c r="G2" s="20">
        <f>_xlfn.MAXIFS(PLANIFICACION!B:B,PLANIFICACION!A:A,ORDENES!A2)</f>
        <v>0</v>
      </c>
      <c r="H2" s="19" t="str">
        <f>_xlfn.XLOOKUP(A2,FACTURA!A:A,FACTURA!E:E,"NO PLANIFICADO")</f>
        <v>NO PLANIFICADO</v>
      </c>
      <c r="I2" s="19" t="str">
        <f t="shared" ref="I2:I65" si="0">IF(OR(E2="V.TECNICA",E2="PROYECTO",E2="IMPLEMENTACION"),"SI","NO")</f>
        <v>NO</v>
      </c>
      <c r="J2">
        <v>2</v>
      </c>
      <c r="L2" t="s">
        <v>80</v>
      </c>
      <c r="M2" s="19" t="s">
        <v>81</v>
      </c>
      <c r="N2" s="20" t="str">
        <f>_xlfn.XLOOKUP(A2,FACTURA!A:A,FACTURA!F:F,"NO APLICA")</f>
        <v>NO APLICA</v>
      </c>
    </row>
    <row r="3" spans="1:14" x14ac:dyDescent="0.25">
      <c r="A3" t="s">
        <v>82</v>
      </c>
      <c r="C3" t="s">
        <v>83</v>
      </c>
      <c r="D3" t="s">
        <v>84</v>
      </c>
      <c r="E3" t="s">
        <v>85</v>
      </c>
      <c r="F3" t="s">
        <v>79</v>
      </c>
      <c r="G3" s="20">
        <f>_xlfn.MAXIFS(PLANIFICACION!B:B,PLANIFICACION!A:A,ORDENES!A3)</f>
        <v>0</v>
      </c>
      <c r="H3" s="19" t="str">
        <f>_xlfn.XLOOKUP(A3,FACTURA!A:A,FACTURA!E:E,"NO PLANIFICADO")</f>
        <v>NO PLANIFICADO</v>
      </c>
      <c r="I3" s="19" t="str">
        <f t="shared" si="0"/>
        <v>SI</v>
      </c>
      <c r="J3">
        <v>2</v>
      </c>
      <c r="K3" s="23" t="s">
        <v>86</v>
      </c>
      <c r="L3" t="s">
        <v>80</v>
      </c>
      <c r="M3" s="19" t="s">
        <v>87</v>
      </c>
      <c r="N3" s="20" t="str">
        <f>_xlfn.XLOOKUP(A3,FACTURA!A:A,FACTURA!F:F,"NO APLICA")</f>
        <v>NO APLICA</v>
      </c>
    </row>
    <row r="4" spans="1:14" x14ac:dyDescent="0.25">
      <c r="A4" t="s">
        <v>88</v>
      </c>
      <c r="C4" t="s">
        <v>76</v>
      </c>
      <c r="D4" t="s">
        <v>77</v>
      </c>
      <c r="E4" t="s">
        <v>85</v>
      </c>
      <c r="F4" t="s">
        <v>79</v>
      </c>
      <c r="G4" s="20">
        <f>_xlfn.MAXIFS(PLANIFICACION!B:B,PLANIFICACION!A:A,ORDENES!A4)</f>
        <v>0</v>
      </c>
      <c r="H4" s="19" t="str">
        <f>_xlfn.XLOOKUP(A4,FACTURA!A:A,FACTURA!E:E,"NO PLANIFICADO")</f>
        <v>NO PLANIFICADO</v>
      </c>
      <c r="I4" s="19" t="str">
        <f>IF(OR(E4="V.TECNICA",E4="PROYECTO",E4="IMPLEMENTACION"),"SI","NO")</f>
        <v>SI</v>
      </c>
      <c r="J4">
        <v>2</v>
      </c>
      <c r="K4" s="23" t="s">
        <v>86</v>
      </c>
      <c r="L4" t="s">
        <v>89</v>
      </c>
      <c r="M4" s="19" t="s">
        <v>90</v>
      </c>
      <c r="N4" s="20" t="str">
        <f>_xlfn.XLOOKUP(A4,FACTURA!A:A,FACTURA!F:F,"NO APLICA")</f>
        <v>NO APLICA</v>
      </c>
    </row>
    <row r="5" spans="1:14" x14ac:dyDescent="0.25">
      <c r="A5" t="s">
        <v>91</v>
      </c>
      <c r="C5" t="s">
        <v>92</v>
      </c>
      <c r="D5" t="s">
        <v>93</v>
      </c>
      <c r="E5" t="s">
        <v>85</v>
      </c>
      <c r="F5" s="15">
        <v>46085</v>
      </c>
      <c r="G5" s="20">
        <f>_xlfn.MAXIFS(PLANIFICACION!B:B,PLANIFICACION!A:A,ORDENES!A5)</f>
        <v>0</v>
      </c>
      <c r="H5" s="19" t="str">
        <f>_xlfn.XLOOKUP(A5,FACTURA!A:A,FACTURA!E:E,"NO PLANIFICADO")</f>
        <v>NO PLANIFICADO</v>
      </c>
      <c r="I5" s="19" t="str">
        <f t="shared" si="0"/>
        <v>SI</v>
      </c>
      <c r="J5">
        <v>2</v>
      </c>
      <c r="K5" s="23" t="s">
        <v>94</v>
      </c>
      <c r="L5" t="s">
        <v>80</v>
      </c>
      <c r="M5" s="19" t="s">
        <v>95</v>
      </c>
      <c r="N5" s="20" t="str">
        <f>_xlfn.XLOOKUP(A5,FACTURA!A:A,FACTURA!F:F,"NO APLICA")</f>
        <v>NO APLICA</v>
      </c>
    </row>
    <row r="6" spans="1:14" x14ac:dyDescent="0.25">
      <c r="A6" t="s">
        <v>96</v>
      </c>
      <c r="C6" t="s">
        <v>92</v>
      </c>
      <c r="D6" s="18" t="s">
        <v>97</v>
      </c>
      <c r="E6" t="s">
        <v>85</v>
      </c>
      <c r="F6" s="15">
        <v>46091</v>
      </c>
      <c r="G6" s="20">
        <f>_xlfn.MAXIFS(PLANIFICACION!B:B,PLANIFICACION!A:A,ORDENES!A6)</f>
        <v>0</v>
      </c>
      <c r="H6" s="19" t="str">
        <f>_xlfn.XLOOKUP(A6,FACTURA!A:A,FACTURA!E:E,"NO PLANIFICADO")</f>
        <v>NO PLANIFICADO</v>
      </c>
      <c r="I6" s="19" t="str">
        <f t="shared" si="0"/>
        <v>SI</v>
      </c>
      <c r="K6" s="23" t="s">
        <v>94</v>
      </c>
      <c r="N6" s="20" t="str">
        <f>_xlfn.XLOOKUP(A6,FACTURA!A:A,FACTURA!F:F,"NO APLICA")</f>
        <v>NO APLICA</v>
      </c>
    </row>
    <row r="7" spans="1:14" x14ac:dyDescent="0.25">
      <c r="A7" t="s">
        <v>98</v>
      </c>
      <c r="B7" t="s">
        <v>388</v>
      </c>
      <c r="C7" t="s">
        <v>92</v>
      </c>
      <c r="D7" t="s">
        <v>149</v>
      </c>
      <c r="E7" t="s">
        <v>164</v>
      </c>
      <c r="F7" s="24">
        <v>46106</v>
      </c>
      <c r="G7" s="20">
        <f>_xlfn.MAXIFS(PLANIFICACION!B:B,PLANIFICACION!A:A,ORDENES!A7)</f>
        <v>46106</v>
      </c>
      <c r="H7" s="19" t="str">
        <f>_xlfn.XLOOKUP(A7,FACTURA!A:A,FACTURA!E:E,"NO PLANIFICADO")</f>
        <v>NO PLANIFICADO</v>
      </c>
      <c r="I7" s="19" t="str">
        <f t="shared" si="0"/>
        <v>SI</v>
      </c>
      <c r="J7">
        <v>1</v>
      </c>
      <c r="K7" s="23" t="s">
        <v>94</v>
      </c>
      <c r="L7" s="27" t="s">
        <v>165</v>
      </c>
      <c r="N7" s="20" t="str">
        <f ca="1">_xlfn.XLOOKUP(A7,FACTURA!A:A,FACTURA!F:F,"NO APLICA")</f>
        <v>NO APLICA</v>
      </c>
    </row>
    <row r="8" spans="1:14" ht="30" x14ac:dyDescent="0.25">
      <c r="A8" t="s">
        <v>99</v>
      </c>
      <c r="B8" t="s">
        <v>339</v>
      </c>
      <c r="C8" t="s">
        <v>92</v>
      </c>
      <c r="D8" t="s">
        <v>150</v>
      </c>
      <c r="E8" t="s">
        <v>164</v>
      </c>
      <c r="F8" s="24">
        <v>46106</v>
      </c>
      <c r="G8" s="20">
        <f>_xlfn.MAXIFS(PLANIFICACION!B:B,PLANIFICACION!A:A,ORDENES!A8)</f>
        <v>46106</v>
      </c>
      <c r="H8" s="19" t="str">
        <f>_xlfn.XLOOKUP(A8,FACTURA!A:A,FACTURA!E:E,"NO PLANIFICADO")</f>
        <v>NO PLANIFICADO</v>
      </c>
      <c r="I8" s="19" t="str">
        <f t="shared" si="0"/>
        <v>SI</v>
      </c>
      <c r="J8">
        <v>1</v>
      </c>
      <c r="K8" s="23" t="s">
        <v>94</v>
      </c>
      <c r="L8" s="27" t="s">
        <v>166</v>
      </c>
      <c r="N8" s="20" t="str">
        <f>_xlfn.XLOOKUP(A8,FACTURA!A:A,FACTURA!F:F,"NO APLICA")</f>
        <v>NO APLICA</v>
      </c>
    </row>
    <row r="9" spans="1:14" ht="30" x14ac:dyDescent="0.25">
      <c r="A9" t="s">
        <v>100</v>
      </c>
      <c r="B9" t="s">
        <v>339</v>
      </c>
      <c r="C9" t="s">
        <v>92</v>
      </c>
      <c r="D9" t="s">
        <v>151</v>
      </c>
      <c r="E9" t="s">
        <v>164</v>
      </c>
      <c r="F9" s="24">
        <v>46106</v>
      </c>
      <c r="G9" s="20">
        <f>_xlfn.MAXIFS(PLANIFICACION!B:B,PLANIFICACION!A:A,ORDENES!A9)</f>
        <v>46106</v>
      </c>
      <c r="H9" s="19" t="str">
        <f>_xlfn.XLOOKUP(A9,FACTURA!A:A,FACTURA!E:E,"NO PLANIFICADO")</f>
        <v>NO PLANIFICADO</v>
      </c>
      <c r="I9" s="19" t="str">
        <f t="shared" si="0"/>
        <v>SI</v>
      </c>
      <c r="J9">
        <v>1</v>
      </c>
      <c r="K9" s="23" t="s">
        <v>94</v>
      </c>
      <c r="L9" s="27" t="s">
        <v>166</v>
      </c>
      <c r="N9" s="20" t="str">
        <f>_xlfn.XLOOKUP(A9,FACTURA!A:A,FACTURA!F:F,"NO APLICA")</f>
        <v>NO APLICA</v>
      </c>
    </row>
    <row r="10" spans="1:14" x14ac:dyDescent="0.25">
      <c r="A10" t="s">
        <v>102</v>
      </c>
      <c r="B10" t="s">
        <v>669</v>
      </c>
      <c r="C10" t="s">
        <v>148</v>
      </c>
      <c r="D10" t="s">
        <v>152</v>
      </c>
      <c r="E10" t="s">
        <v>85</v>
      </c>
      <c r="F10" s="24">
        <v>46106</v>
      </c>
      <c r="G10" s="20">
        <f>_xlfn.MAXIFS(PLANIFICACION!B:B,PLANIFICACION!A:A,ORDENES!A10)</f>
        <v>46106</v>
      </c>
      <c r="H10" s="19" t="str">
        <f>_xlfn.XLOOKUP(A10,FACTURA!A:A,FACTURA!E:E,"NO PLANIFICADO")</f>
        <v>NO PLANIFICADO</v>
      </c>
      <c r="I10" s="19" t="str">
        <f t="shared" si="0"/>
        <v>SI</v>
      </c>
      <c r="J10">
        <v>1</v>
      </c>
      <c r="K10" s="23" t="s">
        <v>94</v>
      </c>
      <c r="L10" s="27" t="s">
        <v>167</v>
      </c>
      <c r="N10" s="20" t="str">
        <f>_xlfn.XLOOKUP(A10,FACTURA!A:A,FACTURA!F:F,"NO APLICA")</f>
        <v>NO APLICA</v>
      </c>
    </row>
    <row r="11" spans="1:14" ht="30" x14ac:dyDescent="0.25">
      <c r="A11" t="s">
        <v>103</v>
      </c>
      <c r="B11" t="s">
        <v>669</v>
      </c>
      <c r="C11" t="s">
        <v>92</v>
      </c>
      <c r="D11" t="s">
        <v>153</v>
      </c>
      <c r="E11" t="s">
        <v>164</v>
      </c>
      <c r="F11" s="24">
        <v>46106</v>
      </c>
      <c r="G11" s="20">
        <f>_xlfn.MAXIFS(PLANIFICACION!B:B,PLANIFICACION!A:A,ORDENES!A11)</f>
        <v>46106</v>
      </c>
      <c r="H11" s="19" t="str">
        <f>_xlfn.XLOOKUP(A11,FACTURA!A:A,FACTURA!E:E,"NO PLANIFICADO")</f>
        <v>NO PLANIFICADO</v>
      </c>
      <c r="I11" s="19" t="str">
        <f t="shared" si="0"/>
        <v>SI</v>
      </c>
      <c r="J11">
        <v>1</v>
      </c>
      <c r="K11" s="23" t="s">
        <v>94</v>
      </c>
      <c r="L11" s="27" t="s">
        <v>166</v>
      </c>
      <c r="N11" s="20" t="str">
        <f>_xlfn.XLOOKUP(A11,FACTURA!A:A,FACTURA!F:F,"NO APLICA")</f>
        <v>NO APLICA</v>
      </c>
    </row>
    <row r="12" spans="1:14" ht="30" x14ac:dyDescent="0.25">
      <c r="A12" t="s">
        <v>104</v>
      </c>
      <c r="B12" t="s">
        <v>669</v>
      </c>
      <c r="C12" t="s">
        <v>92</v>
      </c>
      <c r="D12" t="s">
        <v>154</v>
      </c>
      <c r="E12" t="s">
        <v>164</v>
      </c>
      <c r="F12" s="24">
        <v>46106</v>
      </c>
      <c r="G12" s="20">
        <f>_xlfn.MAXIFS(PLANIFICACION!B:B,PLANIFICACION!A:A,ORDENES!A12)</f>
        <v>46106</v>
      </c>
      <c r="H12" s="19" t="str">
        <f>_xlfn.XLOOKUP(A12,FACTURA!A:A,FACTURA!E:E,"NO PLANIFICADO")</f>
        <v>NO PLANIFICADO</v>
      </c>
      <c r="I12" s="19" t="str">
        <f t="shared" si="0"/>
        <v>SI</v>
      </c>
      <c r="J12">
        <v>1</v>
      </c>
      <c r="K12" s="23" t="s">
        <v>94</v>
      </c>
      <c r="L12" s="27" t="s">
        <v>166</v>
      </c>
      <c r="N12" s="20" t="str">
        <f>_xlfn.XLOOKUP(A12,FACTURA!A:A,FACTURA!F:F,"NO APLICA")</f>
        <v>NO APLICA</v>
      </c>
    </row>
    <row r="13" spans="1:14" x14ac:dyDescent="0.25">
      <c r="A13" t="s">
        <v>105</v>
      </c>
      <c r="B13" t="s">
        <v>669</v>
      </c>
      <c r="C13" t="s">
        <v>92</v>
      </c>
      <c r="D13" t="s">
        <v>155</v>
      </c>
      <c r="E13" t="s">
        <v>164</v>
      </c>
      <c r="F13" s="24">
        <v>46106</v>
      </c>
      <c r="G13" s="20">
        <f>_xlfn.MAXIFS(PLANIFICACION!B:B,PLANIFICACION!A:A,ORDENES!A13)</f>
        <v>46106</v>
      </c>
      <c r="H13" s="19" t="str">
        <f>_xlfn.XLOOKUP(A13,FACTURA!A:A,FACTURA!E:E,"NO PLANIFICADO")</f>
        <v>NO PLANIFICADO</v>
      </c>
      <c r="I13" s="19" t="str">
        <f t="shared" si="0"/>
        <v>SI</v>
      </c>
      <c r="J13">
        <v>1</v>
      </c>
      <c r="K13" s="23" t="s">
        <v>94</v>
      </c>
      <c r="L13" s="27" t="s">
        <v>165</v>
      </c>
      <c r="N13" s="20" t="str">
        <f>_xlfn.XLOOKUP(A13,FACTURA!A:A,FACTURA!F:F,"NO APLICA")</f>
        <v>NO APLICA</v>
      </c>
    </row>
    <row r="14" spans="1:14" ht="30" x14ac:dyDescent="0.25">
      <c r="A14" t="s">
        <v>106</v>
      </c>
      <c r="B14" t="s">
        <v>670</v>
      </c>
      <c r="C14" t="s">
        <v>92</v>
      </c>
      <c r="D14" t="s">
        <v>156</v>
      </c>
      <c r="E14" t="s">
        <v>164</v>
      </c>
      <c r="F14" s="24">
        <v>46106</v>
      </c>
      <c r="G14" s="20">
        <f>_xlfn.MAXIFS(PLANIFICACION!B:B,PLANIFICACION!A:A,ORDENES!A14)</f>
        <v>46106</v>
      </c>
      <c r="H14" s="19" t="str">
        <f>_xlfn.XLOOKUP(A14,FACTURA!A:A,FACTURA!E:E,"NO PLANIFICADO")</f>
        <v>NO PLANIFICADO</v>
      </c>
      <c r="I14" s="19" t="str">
        <f t="shared" si="0"/>
        <v>SI</v>
      </c>
      <c r="J14">
        <v>1</v>
      </c>
      <c r="K14" s="23" t="s">
        <v>94</v>
      </c>
      <c r="L14" s="27" t="s">
        <v>166</v>
      </c>
      <c r="N14" s="20" t="str">
        <f>_xlfn.XLOOKUP(A14,FACTURA!A:A,FACTURA!F:F,"NO APLICA")</f>
        <v>NO APLICA</v>
      </c>
    </row>
    <row r="15" spans="1:14" ht="30" x14ac:dyDescent="0.25">
      <c r="A15" t="s">
        <v>107</v>
      </c>
      <c r="B15" t="s">
        <v>671</v>
      </c>
      <c r="C15" t="s">
        <v>92</v>
      </c>
      <c r="D15" t="s">
        <v>101</v>
      </c>
      <c r="E15" t="s">
        <v>164</v>
      </c>
      <c r="F15" s="24">
        <v>46106</v>
      </c>
      <c r="G15" s="20">
        <f>_xlfn.MAXIFS(PLANIFICACION!B:B,PLANIFICACION!A:A,ORDENES!A15)</f>
        <v>46106</v>
      </c>
      <c r="H15" s="19" t="str">
        <f>_xlfn.XLOOKUP(A15,FACTURA!A:A,FACTURA!E:E,"NO PLANIFICADO")</f>
        <v>NO PLANIFICADO</v>
      </c>
      <c r="I15" s="19" t="str">
        <f t="shared" si="0"/>
        <v>SI</v>
      </c>
      <c r="J15">
        <v>1</v>
      </c>
      <c r="K15" s="23" t="s">
        <v>94</v>
      </c>
      <c r="L15" s="27" t="s">
        <v>166</v>
      </c>
      <c r="N15" s="20" t="str">
        <f>_xlfn.XLOOKUP(A15,FACTURA!A:A,FACTURA!F:F,"NO APLICA")</f>
        <v>NO APLICA</v>
      </c>
    </row>
    <row r="16" spans="1:14" ht="30" x14ac:dyDescent="0.25">
      <c r="A16" t="s">
        <v>108</v>
      </c>
      <c r="B16" t="s">
        <v>671</v>
      </c>
      <c r="C16" t="s">
        <v>92</v>
      </c>
      <c r="D16" t="s">
        <v>157</v>
      </c>
      <c r="E16" t="s">
        <v>164</v>
      </c>
      <c r="F16" s="24">
        <v>46106</v>
      </c>
      <c r="G16" s="20">
        <f>_xlfn.MAXIFS(PLANIFICACION!B:B,PLANIFICACION!A:A,ORDENES!A16)</f>
        <v>46106</v>
      </c>
      <c r="H16" s="19" t="str">
        <f>_xlfn.XLOOKUP(A16,FACTURA!A:A,FACTURA!E:E,"NO PLANIFICADO")</f>
        <v>NO PLANIFICADO</v>
      </c>
      <c r="I16" s="19" t="str">
        <f t="shared" si="0"/>
        <v>SI</v>
      </c>
      <c r="J16">
        <v>1</v>
      </c>
      <c r="K16" s="23" t="s">
        <v>94</v>
      </c>
      <c r="L16" s="27" t="s">
        <v>166</v>
      </c>
      <c r="N16" s="20" t="str">
        <f>_xlfn.XLOOKUP(A16,FACTURA!A:A,FACTURA!F:F,"NO APLICA")</f>
        <v>NO APLICA</v>
      </c>
    </row>
    <row r="17" spans="1:14" ht="30" x14ac:dyDescent="0.25">
      <c r="A17" t="s">
        <v>161</v>
      </c>
      <c r="B17" t="s">
        <v>334</v>
      </c>
      <c r="C17" t="s">
        <v>92</v>
      </c>
      <c r="D17" t="s">
        <v>158</v>
      </c>
      <c r="E17" t="s">
        <v>164</v>
      </c>
      <c r="F17" s="24">
        <v>46106</v>
      </c>
      <c r="G17" s="20">
        <f>_xlfn.MAXIFS(PLANIFICACION!B:B,PLANIFICACION!A:A,ORDENES!A17)</f>
        <v>46106</v>
      </c>
      <c r="H17" s="19" t="str">
        <f>_xlfn.XLOOKUP(A17,FACTURA!A:A,FACTURA!E:E,"NO PLANIFICADO")</f>
        <v>NO PLANIFICADO</v>
      </c>
      <c r="I17" s="19" t="str">
        <f t="shared" si="0"/>
        <v>SI</v>
      </c>
      <c r="J17">
        <v>1</v>
      </c>
      <c r="K17" s="23" t="s">
        <v>94</v>
      </c>
      <c r="L17" s="27" t="s">
        <v>166</v>
      </c>
      <c r="N17" s="20" t="str">
        <f>_xlfn.XLOOKUP(A17,FACTURA!A:A,FACTURA!F:F,"NO APLICA")</f>
        <v>NO APLICA</v>
      </c>
    </row>
    <row r="18" spans="1:14" ht="30" x14ac:dyDescent="0.25">
      <c r="A18" t="s">
        <v>162</v>
      </c>
      <c r="B18" t="s">
        <v>447</v>
      </c>
      <c r="C18" t="s">
        <v>92</v>
      </c>
      <c r="D18" t="s">
        <v>159</v>
      </c>
      <c r="E18" t="s">
        <v>164</v>
      </c>
      <c r="F18" s="24">
        <v>46106</v>
      </c>
      <c r="G18" s="20">
        <f>_xlfn.MAXIFS(PLANIFICACION!B:B,PLANIFICACION!A:A,ORDENES!A18)</f>
        <v>46106</v>
      </c>
      <c r="H18" s="19" t="str">
        <f>_xlfn.XLOOKUP(A18,FACTURA!A:A,FACTURA!E:E,"NO PLANIFICADO")</f>
        <v>NO PLANIFICADO</v>
      </c>
      <c r="I18" s="19" t="str">
        <f t="shared" si="0"/>
        <v>SI</v>
      </c>
      <c r="J18">
        <v>1</v>
      </c>
      <c r="K18" s="23" t="s">
        <v>94</v>
      </c>
      <c r="L18" s="27" t="s">
        <v>166</v>
      </c>
      <c r="N18" s="20" t="str">
        <f>_xlfn.XLOOKUP(A18,FACTURA!A:A,FACTURA!F:F,"NO APLICA")</f>
        <v>NO APLICA</v>
      </c>
    </row>
    <row r="19" spans="1:14" ht="30" x14ac:dyDescent="0.25">
      <c r="A19" t="s">
        <v>163</v>
      </c>
      <c r="B19" t="s">
        <v>251</v>
      </c>
      <c r="C19" t="s">
        <v>92</v>
      </c>
      <c r="D19" t="s">
        <v>160</v>
      </c>
      <c r="E19" t="s">
        <v>164</v>
      </c>
      <c r="F19" s="24">
        <v>46106</v>
      </c>
      <c r="G19" s="20">
        <f>_xlfn.MAXIFS(PLANIFICACION!B:B,PLANIFICACION!A:A,ORDENES!A19)</f>
        <v>46106</v>
      </c>
      <c r="H19" s="19" t="str">
        <f>_xlfn.XLOOKUP(A19,FACTURA!A:A,FACTURA!E:E,"NO PLANIFICADO")</f>
        <v>NO PLANIFICADO</v>
      </c>
      <c r="I19" s="19" t="str">
        <f t="shared" si="0"/>
        <v>SI</v>
      </c>
      <c r="J19">
        <v>1</v>
      </c>
      <c r="K19" s="23" t="s">
        <v>94</v>
      </c>
      <c r="L19" s="27" t="s">
        <v>166</v>
      </c>
      <c r="N19" s="20" t="str">
        <f>_xlfn.XLOOKUP(A19,FACTURA!A:A,FACTURA!F:F,"NO APLICA")</f>
        <v>NO APLICA</v>
      </c>
    </row>
    <row r="20" spans="1:14" ht="30" x14ac:dyDescent="0.25">
      <c r="A20" t="s">
        <v>186</v>
      </c>
      <c r="B20" t="s">
        <v>372</v>
      </c>
      <c r="C20" s="24" t="s">
        <v>92</v>
      </c>
      <c r="D20" s="26" t="s">
        <v>176</v>
      </c>
      <c r="E20" t="s">
        <v>164</v>
      </c>
      <c r="F20" s="24">
        <v>46107</v>
      </c>
      <c r="G20" s="20">
        <v>46107</v>
      </c>
      <c r="H20" s="19" t="str">
        <f>_xlfn.XLOOKUP(A20,FACTURA!A:A,FACTURA!E:E,"NO PLANIFICADO")</f>
        <v>NO PLANIFICADO</v>
      </c>
      <c r="I20" s="19" t="str">
        <f t="shared" si="0"/>
        <v>SI</v>
      </c>
      <c r="J20">
        <v>1</v>
      </c>
      <c r="K20" s="23" t="s">
        <v>94</v>
      </c>
      <c r="L20" s="27" t="s">
        <v>166</v>
      </c>
      <c r="N20" s="20" t="str">
        <f>_xlfn.XLOOKUP(A20,FACTURA!A:A,FACTURA!F:F,"NO APLICA")</f>
        <v>NO APLICA</v>
      </c>
    </row>
    <row r="21" spans="1:14" ht="30" x14ac:dyDescent="0.25">
      <c r="A21" t="s">
        <v>187</v>
      </c>
      <c r="B21" t="s">
        <v>363</v>
      </c>
      <c r="C21" s="24" t="s">
        <v>92</v>
      </c>
      <c r="D21" s="26" t="s">
        <v>177</v>
      </c>
      <c r="E21" t="s">
        <v>164</v>
      </c>
      <c r="F21" s="24">
        <v>46107</v>
      </c>
      <c r="G21" s="20">
        <v>46107</v>
      </c>
      <c r="H21" s="19" t="str">
        <f>_xlfn.XLOOKUP(A21,FACTURA!A:A,FACTURA!E:E,"NO PLANIFICADO")</f>
        <v>NO PLANIFICADO</v>
      </c>
      <c r="I21" s="19" t="str">
        <f t="shared" si="0"/>
        <v>SI</v>
      </c>
      <c r="J21">
        <v>1</v>
      </c>
      <c r="K21" s="23" t="s">
        <v>94</v>
      </c>
      <c r="L21" s="27" t="s">
        <v>166</v>
      </c>
      <c r="N21" s="20" t="str">
        <f ca="1">_xlfn.XLOOKUP(A21,FACTURA!A:A,FACTURA!F:F,"NO APLICA")</f>
        <v>NO APLICA</v>
      </c>
    </row>
    <row r="22" spans="1:14" ht="30" x14ac:dyDescent="0.25">
      <c r="A22" t="s">
        <v>188</v>
      </c>
      <c r="B22" t="s">
        <v>250</v>
      </c>
      <c r="C22" s="24" t="s">
        <v>92</v>
      </c>
      <c r="D22" s="26" t="s">
        <v>178</v>
      </c>
      <c r="E22" t="s">
        <v>164</v>
      </c>
      <c r="F22" s="24">
        <v>46107</v>
      </c>
      <c r="G22" s="20">
        <v>46107</v>
      </c>
      <c r="H22" s="19" t="str">
        <f ca="1">_xlfn.XLOOKUP(A22,FACTURA!A:A,FACTURA!E:E,"NO PLANIFICADO")</f>
        <v>NO PLANIFICADO</v>
      </c>
      <c r="I22" s="19" t="str">
        <f t="shared" si="0"/>
        <v>SI</v>
      </c>
      <c r="J22">
        <v>1</v>
      </c>
      <c r="K22" s="23" t="s">
        <v>94</v>
      </c>
      <c r="L22" s="27" t="s">
        <v>166</v>
      </c>
      <c r="N22" s="20" t="str">
        <f>_xlfn.XLOOKUP(A22,FACTURA!A:A,FACTURA!F:F,"NO APLICA")</f>
        <v>NO APLICA</v>
      </c>
    </row>
    <row r="23" spans="1:14" ht="30" x14ac:dyDescent="0.25">
      <c r="A23" t="s">
        <v>189</v>
      </c>
      <c r="B23" t="s">
        <v>244</v>
      </c>
      <c r="C23" s="24" t="s">
        <v>92</v>
      </c>
      <c r="D23" s="26" t="s">
        <v>179</v>
      </c>
      <c r="E23" t="s">
        <v>164</v>
      </c>
      <c r="F23" s="24">
        <v>46107</v>
      </c>
      <c r="G23" s="20">
        <v>46107</v>
      </c>
      <c r="H23" s="19" t="str">
        <f ca="1">_xlfn.XLOOKUP(A23,FACTURA!A:A,FACTURA!E:E,"NO PLANIFICADO")</f>
        <v>NO PLANIFICADO</v>
      </c>
      <c r="I23" s="19" t="str">
        <f t="shared" si="0"/>
        <v>SI</v>
      </c>
      <c r="J23">
        <v>1</v>
      </c>
      <c r="K23" s="23" t="s">
        <v>94</v>
      </c>
      <c r="L23" s="27" t="s">
        <v>166</v>
      </c>
      <c r="N23" s="20" t="str">
        <f>_xlfn.XLOOKUP(A23,FACTURA!A:A,FACTURA!F:F,"NO APLICA")</f>
        <v>NO APLICA</v>
      </c>
    </row>
    <row r="24" spans="1:14" x14ac:dyDescent="0.25">
      <c r="A24" t="s">
        <v>190</v>
      </c>
      <c r="B24" t="s">
        <v>669</v>
      </c>
      <c r="C24" s="24" t="s">
        <v>175</v>
      </c>
      <c r="D24" s="25" t="s">
        <v>180</v>
      </c>
      <c r="E24" t="s">
        <v>85</v>
      </c>
      <c r="F24" s="24">
        <v>46107</v>
      </c>
      <c r="G24" s="20">
        <v>46107</v>
      </c>
      <c r="H24" s="19" t="str">
        <f>_xlfn.XLOOKUP(A24,FACTURA!A:A,FACTURA!E:E,"NO PLANIFICADO")</f>
        <v>NO PLANIFICADO</v>
      </c>
      <c r="I24" s="19" t="str">
        <f t="shared" si="0"/>
        <v>SI</v>
      </c>
      <c r="J24">
        <v>1</v>
      </c>
      <c r="K24" s="23" t="s">
        <v>94</v>
      </c>
      <c r="L24" s="27" t="s">
        <v>214</v>
      </c>
      <c r="N24" s="20" t="str">
        <f>_xlfn.XLOOKUP(A24,FACTURA!A:A,FACTURA!F:F,"NO APLICA")</f>
        <v>NO APLICA</v>
      </c>
    </row>
    <row r="25" spans="1:14" x14ac:dyDescent="0.25">
      <c r="A25" t="s">
        <v>191</v>
      </c>
      <c r="B25" t="s">
        <v>669</v>
      </c>
      <c r="C25" s="24" t="s">
        <v>92</v>
      </c>
      <c r="D25" s="25" t="s">
        <v>181</v>
      </c>
      <c r="E25" t="s">
        <v>164</v>
      </c>
      <c r="F25" s="24">
        <v>46107</v>
      </c>
      <c r="G25" s="20">
        <v>46107</v>
      </c>
      <c r="H25" s="19" t="str">
        <f>_xlfn.XLOOKUP(A25,FACTURA!A:A,FACTURA!E:E,"NO PLANIFICADO")</f>
        <v>NO PLANIFICADO</v>
      </c>
      <c r="I25" s="19" t="str">
        <f t="shared" si="0"/>
        <v>SI</v>
      </c>
      <c r="J25">
        <v>1</v>
      </c>
      <c r="K25" s="23" t="s">
        <v>94</v>
      </c>
      <c r="L25" s="27" t="s">
        <v>215</v>
      </c>
      <c r="N25" s="20" t="str">
        <f>_xlfn.XLOOKUP(A25,FACTURA!A:A,FACTURA!F:F,"NO APLICA")</f>
        <v>NO APLICA</v>
      </c>
    </row>
    <row r="26" spans="1:14" ht="30" x14ac:dyDescent="0.25">
      <c r="A26" t="s">
        <v>192</v>
      </c>
      <c r="B26" t="s">
        <v>672</v>
      </c>
      <c r="C26" s="24" t="s">
        <v>92</v>
      </c>
      <c r="D26" s="26" t="s">
        <v>182</v>
      </c>
      <c r="E26" t="s">
        <v>164</v>
      </c>
      <c r="F26" s="24">
        <v>46107</v>
      </c>
      <c r="G26" s="20">
        <v>46107</v>
      </c>
      <c r="H26" s="19" t="str">
        <f>_xlfn.XLOOKUP(A26,FACTURA!A:A,FACTURA!E:E,"NO PLANIFICADO")</f>
        <v>NO PLANIFICADO</v>
      </c>
      <c r="I26" s="19" t="str">
        <f t="shared" si="0"/>
        <v>SI</v>
      </c>
      <c r="J26">
        <v>1</v>
      </c>
      <c r="K26" s="23" t="s">
        <v>94</v>
      </c>
      <c r="L26" s="27" t="s">
        <v>166</v>
      </c>
      <c r="N26" s="20" t="str">
        <f>_xlfn.XLOOKUP(A26,FACTURA!A:A,FACTURA!F:F,"NO APLICA")</f>
        <v>NO APLICA</v>
      </c>
    </row>
    <row r="27" spans="1:14" ht="30" x14ac:dyDescent="0.25">
      <c r="A27" t="s">
        <v>193</v>
      </c>
      <c r="B27" t="s">
        <v>673</v>
      </c>
      <c r="C27" s="24" t="s">
        <v>92</v>
      </c>
      <c r="D27" s="26" t="s">
        <v>183</v>
      </c>
      <c r="E27" t="s">
        <v>164</v>
      </c>
      <c r="F27" s="24">
        <v>46107</v>
      </c>
      <c r="G27" s="20">
        <v>46107</v>
      </c>
      <c r="H27" s="19" t="str">
        <f>_xlfn.XLOOKUP(A27,FACTURA!A:A,FACTURA!E:E,"NO PLANIFICADO")</f>
        <v>NO PLANIFICADO</v>
      </c>
      <c r="I27" s="19" t="str">
        <f t="shared" si="0"/>
        <v>SI</v>
      </c>
      <c r="J27">
        <v>1</v>
      </c>
      <c r="K27" s="23" t="s">
        <v>94</v>
      </c>
      <c r="L27" s="27" t="s">
        <v>166</v>
      </c>
      <c r="N27" s="20" t="str">
        <f>_xlfn.XLOOKUP(A27,FACTURA!A:A,FACTURA!F:F,"NO APLICA")</f>
        <v>NO APLICA</v>
      </c>
    </row>
    <row r="28" spans="1:14" ht="30" x14ac:dyDescent="0.25">
      <c r="A28" t="s">
        <v>194</v>
      </c>
      <c r="B28" t="s">
        <v>674</v>
      </c>
      <c r="C28" s="24" t="s">
        <v>92</v>
      </c>
      <c r="D28" s="26" t="s">
        <v>184</v>
      </c>
      <c r="E28" t="s">
        <v>164</v>
      </c>
      <c r="F28" s="24">
        <v>46107</v>
      </c>
      <c r="G28" s="20">
        <v>46107</v>
      </c>
      <c r="H28" s="19" t="str">
        <f>_xlfn.XLOOKUP(A28,FACTURA!A:A,FACTURA!E:E,"NO PLANIFICADO")</f>
        <v>NO PLANIFICADO</v>
      </c>
      <c r="I28" s="19" t="str">
        <f t="shared" si="0"/>
        <v>SI</v>
      </c>
      <c r="J28">
        <v>1</v>
      </c>
      <c r="K28" s="23" t="s">
        <v>94</v>
      </c>
      <c r="L28" s="27" t="s">
        <v>166</v>
      </c>
      <c r="N28" s="20" t="str">
        <f>_xlfn.XLOOKUP(A28,FACTURA!A:A,FACTURA!F:F,"NO APLICA")</f>
        <v>NO APLICA</v>
      </c>
    </row>
    <row r="29" spans="1:14" ht="30" x14ac:dyDescent="0.25">
      <c r="A29" t="s">
        <v>195</v>
      </c>
      <c r="B29" t="s">
        <v>251</v>
      </c>
      <c r="C29" s="24" t="s">
        <v>92</v>
      </c>
      <c r="D29" s="26" t="s">
        <v>185</v>
      </c>
      <c r="E29" t="s">
        <v>164</v>
      </c>
      <c r="F29" s="24">
        <v>46107</v>
      </c>
      <c r="G29" s="20">
        <v>46107</v>
      </c>
      <c r="H29" s="19" t="str">
        <f>_xlfn.XLOOKUP(A29,FACTURA!A:A,FACTURA!E:E,"NO PLANIFICADO")</f>
        <v>NO PLANIFICADO</v>
      </c>
      <c r="I29" s="19" t="str">
        <f t="shared" si="0"/>
        <v>SI</v>
      </c>
      <c r="J29">
        <v>1</v>
      </c>
      <c r="K29" s="23" t="s">
        <v>94</v>
      </c>
      <c r="L29" s="27" t="s">
        <v>166</v>
      </c>
      <c r="N29" s="20" t="str">
        <f>_xlfn.XLOOKUP(A29,FACTURA!A:A,FACTURA!F:F,"NO APLICA")</f>
        <v>NO APLICA</v>
      </c>
    </row>
    <row r="30" spans="1:14" ht="30" x14ac:dyDescent="0.25">
      <c r="A30" t="s">
        <v>205</v>
      </c>
      <c r="B30" t="s">
        <v>669</v>
      </c>
      <c r="C30" s="24" t="s">
        <v>92</v>
      </c>
      <c r="D30" s="25" t="s">
        <v>196</v>
      </c>
      <c r="E30" t="s">
        <v>164</v>
      </c>
      <c r="F30" s="24">
        <v>46108</v>
      </c>
      <c r="G30" s="20">
        <v>46107</v>
      </c>
      <c r="H30" s="19" t="str">
        <f>_xlfn.XLOOKUP(A30,FACTURA!A:A,FACTURA!E:E,"NO PLANIFICADO")</f>
        <v>NO PLANIFICADO</v>
      </c>
      <c r="I30" s="19" t="str">
        <f t="shared" si="0"/>
        <v>SI</v>
      </c>
      <c r="J30">
        <v>1</v>
      </c>
      <c r="K30" s="23" t="s">
        <v>94</v>
      </c>
      <c r="L30" s="27" t="s">
        <v>166</v>
      </c>
      <c r="N30" s="20" t="str">
        <f ca="1">_xlfn.XLOOKUP(A30,FACTURA!A:A,FACTURA!F:F,"NO APLICA")</f>
        <v>NO APLICA</v>
      </c>
    </row>
    <row r="31" spans="1:14" ht="30" x14ac:dyDescent="0.25">
      <c r="A31" t="s">
        <v>206</v>
      </c>
      <c r="B31" t="s">
        <v>669</v>
      </c>
      <c r="C31" s="24" t="s">
        <v>92</v>
      </c>
      <c r="D31" s="25" t="s">
        <v>197</v>
      </c>
      <c r="E31" t="s">
        <v>164</v>
      </c>
      <c r="F31" s="24">
        <v>46108</v>
      </c>
      <c r="G31" s="20">
        <v>46107</v>
      </c>
      <c r="H31" s="19" t="str">
        <f ca="1">_xlfn.XLOOKUP(A31,FACTURA!A:A,FACTURA!E:E,"NO PLANIFICADO")</f>
        <v>NO PLANIFICADO</v>
      </c>
      <c r="I31" s="19" t="str">
        <f t="shared" si="0"/>
        <v>SI</v>
      </c>
      <c r="J31">
        <v>1</v>
      </c>
      <c r="K31" s="23" t="s">
        <v>94</v>
      </c>
      <c r="L31" s="27" t="s">
        <v>166</v>
      </c>
      <c r="N31" s="20" t="str">
        <f>_xlfn.XLOOKUP(A31,FACTURA!A:A,FACTURA!F:F,"NO APLICA")</f>
        <v>NO APLICA</v>
      </c>
    </row>
    <row r="32" spans="1:14" ht="30" x14ac:dyDescent="0.25">
      <c r="A32" t="s">
        <v>207</v>
      </c>
      <c r="B32" t="s">
        <v>352</v>
      </c>
      <c r="C32" s="24" t="s">
        <v>92</v>
      </c>
      <c r="D32" s="26" t="s">
        <v>198</v>
      </c>
      <c r="E32" t="s">
        <v>164</v>
      </c>
      <c r="F32" s="24">
        <v>46108</v>
      </c>
      <c r="G32" s="20">
        <v>46107</v>
      </c>
      <c r="H32" s="19" t="str">
        <f ca="1">_xlfn.XLOOKUP(A32,FACTURA!A:A,FACTURA!E:E,"NO PLANIFICADO")</f>
        <v>NO PLANIFICADO</v>
      </c>
      <c r="I32" s="19" t="str">
        <f t="shared" si="0"/>
        <v>SI</v>
      </c>
      <c r="J32">
        <v>1</v>
      </c>
      <c r="K32" s="23" t="s">
        <v>94</v>
      </c>
      <c r="L32" s="27" t="s">
        <v>166</v>
      </c>
      <c r="N32" s="20" t="str">
        <f>_xlfn.XLOOKUP(A32,FACTURA!A:A,FACTURA!F:F,"NO APLICA")</f>
        <v>NO APLICA</v>
      </c>
    </row>
    <row r="33" spans="1:14" ht="30" x14ac:dyDescent="0.25">
      <c r="A33" t="s">
        <v>208</v>
      </c>
      <c r="B33" t="s">
        <v>352</v>
      </c>
      <c r="C33" s="24" t="s">
        <v>92</v>
      </c>
      <c r="D33" s="26" t="s">
        <v>199</v>
      </c>
      <c r="E33" t="s">
        <v>164</v>
      </c>
      <c r="F33" s="24">
        <v>46108</v>
      </c>
      <c r="G33" s="20">
        <v>46107</v>
      </c>
      <c r="H33" s="19" t="str">
        <f>_xlfn.XLOOKUP(A33,FACTURA!A:A,FACTURA!E:E,"NO PLANIFICADO")</f>
        <v>NO PLANIFICADO</v>
      </c>
      <c r="I33" s="19" t="str">
        <f t="shared" si="0"/>
        <v>SI</v>
      </c>
      <c r="J33">
        <v>1</v>
      </c>
      <c r="K33" s="23" t="s">
        <v>94</v>
      </c>
      <c r="L33" s="27" t="s">
        <v>166</v>
      </c>
      <c r="N33" s="20" t="str">
        <f ca="1">_xlfn.XLOOKUP(A33,FACTURA!A:A,FACTURA!F:F,"NO APLICA")</f>
        <v>NO APLICA</v>
      </c>
    </row>
    <row r="34" spans="1:14" ht="30" x14ac:dyDescent="0.25">
      <c r="A34" t="s">
        <v>209</v>
      </c>
      <c r="B34" t="s">
        <v>675</v>
      </c>
      <c r="C34" s="24" t="s">
        <v>92</v>
      </c>
      <c r="D34" s="26" t="s">
        <v>200</v>
      </c>
      <c r="E34" t="s">
        <v>164</v>
      </c>
      <c r="F34" s="24">
        <v>46108</v>
      </c>
      <c r="G34" s="20">
        <v>46107</v>
      </c>
      <c r="H34" s="19" t="str">
        <f>_xlfn.XLOOKUP(A34,FACTURA!A:A,FACTURA!E:E,"NO PLANIFICADO")</f>
        <v>NO PLANIFICADO</v>
      </c>
      <c r="I34" s="19" t="str">
        <f t="shared" si="0"/>
        <v>SI</v>
      </c>
      <c r="J34">
        <v>1</v>
      </c>
      <c r="K34" s="23" t="s">
        <v>94</v>
      </c>
      <c r="L34" s="27" t="s">
        <v>166</v>
      </c>
      <c r="N34" s="20" t="str">
        <f ca="1">_xlfn.XLOOKUP(A34,FACTURA!A:A,FACTURA!F:F,"NO APLICA")</f>
        <v>NO APLICA</v>
      </c>
    </row>
    <row r="35" spans="1:14" ht="30" x14ac:dyDescent="0.25">
      <c r="A35" t="s">
        <v>210</v>
      </c>
      <c r="B35" t="s">
        <v>676</v>
      </c>
      <c r="C35" s="24" t="s">
        <v>92</v>
      </c>
      <c r="D35" s="26" t="s">
        <v>201</v>
      </c>
      <c r="E35" t="s">
        <v>164</v>
      </c>
      <c r="F35" s="24">
        <v>46108</v>
      </c>
      <c r="G35" s="20">
        <v>46107</v>
      </c>
      <c r="H35" s="19" t="str">
        <f>_xlfn.XLOOKUP(A35,FACTURA!A:A,FACTURA!E:E,"NO PLANIFICADO")</f>
        <v>NO PLANIFICADO</v>
      </c>
      <c r="I35" s="19" t="str">
        <f t="shared" si="0"/>
        <v>SI</v>
      </c>
      <c r="J35">
        <v>1</v>
      </c>
      <c r="K35" s="23" t="s">
        <v>94</v>
      </c>
      <c r="L35" s="27" t="s">
        <v>166</v>
      </c>
      <c r="N35" s="20" t="str">
        <f>_xlfn.XLOOKUP(A35,FACTURA!A:A,FACTURA!F:F,"NO APLICA")</f>
        <v>NO APLICA</v>
      </c>
    </row>
    <row r="36" spans="1:14" x14ac:dyDescent="0.25">
      <c r="A36" t="s">
        <v>211</v>
      </c>
      <c r="B36" t="s">
        <v>677</v>
      </c>
      <c r="C36" s="24" t="s">
        <v>92</v>
      </c>
      <c r="D36" s="25" t="s">
        <v>202</v>
      </c>
      <c r="E36" t="s">
        <v>164</v>
      </c>
      <c r="F36" s="24">
        <v>46108</v>
      </c>
      <c r="G36" s="20">
        <v>46107</v>
      </c>
      <c r="H36" s="19" t="str">
        <f>_xlfn.XLOOKUP(A36,FACTURA!A:A,FACTURA!E:E,"NO PLANIFICADO")</f>
        <v>NO PLANIFICADO</v>
      </c>
      <c r="I36" s="19" t="str">
        <f t="shared" si="0"/>
        <v>SI</v>
      </c>
      <c r="J36">
        <v>1</v>
      </c>
      <c r="K36" s="23" t="s">
        <v>94</v>
      </c>
      <c r="L36" s="27" t="s">
        <v>165</v>
      </c>
      <c r="N36" s="20" t="str">
        <f>_xlfn.XLOOKUP(A36,FACTURA!A:A,FACTURA!F:F,"NO APLICA")</f>
        <v>NO APLICA</v>
      </c>
    </row>
    <row r="37" spans="1:14" ht="30" x14ac:dyDescent="0.25">
      <c r="A37" t="s">
        <v>212</v>
      </c>
      <c r="B37" t="s">
        <v>677</v>
      </c>
      <c r="C37" s="24" t="s">
        <v>92</v>
      </c>
      <c r="D37" s="25" t="s">
        <v>203</v>
      </c>
      <c r="E37" t="s">
        <v>164</v>
      </c>
      <c r="F37" s="24">
        <v>46108</v>
      </c>
      <c r="G37" s="20">
        <v>46107</v>
      </c>
      <c r="H37" s="19" t="str">
        <f>_xlfn.XLOOKUP(A37,FACTURA!A:A,FACTURA!E:E,"NO PLANIFICADO")</f>
        <v>NO PLANIFICADO</v>
      </c>
      <c r="I37" s="19" t="str">
        <f t="shared" si="0"/>
        <v>SI</v>
      </c>
      <c r="J37">
        <v>1</v>
      </c>
      <c r="K37" s="23" t="s">
        <v>94</v>
      </c>
      <c r="L37" s="27" t="s">
        <v>166</v>
      </c>
      <c r="N37" s="20" t="str">
        <f>_xlfn.XLOOKUP(A37,FACTURA!A:A,FACTURA!F:F,"NO APLICA")</f>
        <v>NO APLICA</v>
      </c>
    </row>
    <row r="38" spans="1:14" ht="30" x14ac:dyDescent="0.25">
      <c r="A38" t="s">
        <v>213</v>
      </c>
      <c r="B38" t="s">
        <v>251</v>
      </c>
      <c r="C38" s="24" t="s">
        <v>92</v>
      </c>
      <c r="D38" s="26" t="s">
        <v>204</v>
      </c>
      <c r="E38" t="s">
        <v>164</v>
      </c>
      <c r="F38" s="24">
        <v>46108</v>
      </c>
      <c r="G38" s="20">
        <v>46107</v>
      </c>
      <c r="H38" s="19" t="str">
        <f>_xlfn.XLOOKUP(A38,FACTURA!A:A,FACTURA!E:E,"NO PLANIFICADO")</f>
        <v>NO PLANIFICADO</v>
      </c>
      <c r="I38" s="19" t="str">
        <f t="shared" si="0"/>
        <v>SI</v>
      </c>
      <c r="J38">
        <v>1</v>
      </c>
      <c r="K38" s="23" t="s">
        <v>94</v>
      </c>
      <c r="L38" s="27" t="s">
        <v>166</v>
      </c>
      <c r="N38" s="20" t="str">
        <f>_xlfn.XLOOKUP(A38,FACTURA!A:A,FACTURA!F:F,"NO APLICA")</f>
        <v>NO APLICA</v>
      </c>
    </row>
    <row r="39" spans="1:14" x14ac:dyDescent="0.25">
      <c r="A39" t="s">
        <v>217</v>
      </c>
      <c r="H39" s="19" t="str">
        <f>_xlfn.XLOOKUP(A39,FACTURA!A:A,FACTURA!E:E,"NO PLANIFICADO")</f>
        <v>NO PLANIFICADO</v>
      </c>
      <c r="I39" s="19" t="str">
        <f t="shared" si="0"/>
        <v>NO</v>
      </c>
      <c r="K39" s="23" t="s">
        <v>94</v>
      </c>
      <c r="N39" s="20" t="str">
        <f>_xlfn.XLOOKUP(A39,FACTURA!A:A,FACTURA!F:F,"NO APLICA")</f>
        <v>NO APLICA</v>
      </c>
    </row>
    <row r="40" spans="1:14" x14ac:dyDescent="0.25">
      <c r="H40" s="19" t="str">
        <f>_xlfn.XLOOKUP(A40,FACTURA!A:A,FACTURA!E:E,"NO PLANIFICADO")</f>
        <v>NO PLANIFICADO</v>
      </c>
      <c r="I40" s="19" t="str">
        <f t="shared" si="0"/>
        <v>NO</v>
      </c>
      <c r="K40" s="23" t="s">
        <v>94</v>
      </c>
      <c r="N40" s="20" t="str">
        <f>_xlfn.XLOOKUP(A40,FACTURA!A:A,FACTURA!F:F,"NO APLICA")</f>
        <v>NO APLICA</v>
      </c>
    </row>
    <row r="41" spans="1:14" x14ac:dyDescent="0.25">
      <c r="H41" s="19" t="str">
        <f ca="1">_xlfn.XLOOKUP(A41,FACTURA!A:A,FACTURA!E:E,"NO PLANIFICADO")</f>
        <v>PLANIFICADA</v>
      </c>
      <c r="I41" s="19" t="str">
        <f t="shared" si="0"/>
        <v>NO</v>
      </c>
      <c r="K41" s="23" t="s">
        <v>94</v>
      </c>
      <c r="N41" s="20" t="str">
        <f>_xlfn.XLOOKUP(A41,FACTURA!A:A,FACTURA!F:F,"NO APLICA")</f>
        <v>NO APLICA</v>
      </c>
    </row>
    <row r="42" spans="1:14" x14ac:dyDescent="0.25">
      <c r="H42" s="19" t="str">
        <f>_xlfn.XLOOKUP(A42,FACTURA!A:A,FACTURA!E:E,"NO PLANIFICADO")</f>
        <v>NO PLANIFICADO</v>
      </c>
      <c r="I42" s="19" t="str">
        <f t="shared" si="0"/>
        <v>NO</v>
      </c>
      <c r="K42" s="23" t="s">
        <v>94</v>
      </c>
      <c r="N42" s="20" t="str">
        <f>_xlfn.XLOOKUP(A42,FACTURA!A:A,FACTURA!F:F,"NO APLICA")</f>
        <v>NO APLICA</v>
      </c>
    </row>
    <row r="43" spans="1:14" x14ac:dyDescent="0.25">
      <c r="H43" s="19" t="str">
        <f ca="1">_xlfn.XLOOKUP(A43,FACTURA!A:A,FACTURA!E:E,"NO PLANIFICADO")</f>
        <v>PLANIFICADA</v>
      </c>
      <c r="I43" s="19" t="str">
        <f t="shared" si="0"/>
        <v>NO</v>
      </c>
      <c r="K43" s="23" t="s">
        <v>94</v>
      </c>
      <c r="N43" s="20" t="str">
        <f>_xlfn.XLOOKUP(A43,FACTURA!A:A,FACTURA!F:F,"NO APLICA")</f>
        <v>NO APLICA</v>
      </c>
    </row>
    <row r="44" spans="1:14" x14ac:dyDescent="0.25">
      <c r="H44" s="19" t="str">
        <f ca="1">_xlfn.XLOOKUP(A44,FACTURA!A:A,FACTURA!E:E,"NO PLANIFICADO")</f>
        <v>PLANIFICADA</v>
      </c>
      <c r="I44" s="19" t="str">
        <f t="shared" si="0"/>
        <v>NO</v>
      </c>
      <c r="K44" s="23" t="s">
        <v>94</v>
      </c>
      <c r="N44" s="20" t="str">
        <f>_xlfn.XLOOKUP(A44,FACTURA!A:A,FACTURA!F:F,"NO APLICA")</f>
        <v>NO APLICA</v>
      </c>
    </row>
    <row r="45" spans="1:14" x14ac:dyDescent="0.25">
      <c r="H45" s="19" t="str">
        <f>_xlfn.XLOOKUP(A45,FACTURA!A:A,FACTURA!E:E,"NO PLANIFICADO")</f>
        <v>NO PLANIFICADO</v>
      </c>
      <c r="I45" s="19" t="str">
        <f t="shared" si="0"/>
        <v>NO</v>
      </c>
      <c r="K45" s="23" t="s">
        <v>94</v>
      </c>
      <c r="N45" s="20">
        <f ca="1">_xlfn.XLOOKUP(A45,FACTURA!A:A,FACTURA!F:F,"NO APLICA")</f>
        <v>46102</v>
      </c>
    </row>
    <row r="46" spans="1:14" x14ac:dyDescent="0.25">
      <c r="H46" s="19" t="str">
        <f>_xlfn.XLOOKUP(A46,FACTURA!A:A,FACTURA!E:E,"NO PLANIFICADO")</f>
        <v>NO PLANIFICADO</v>
      </c>
      <c r="I46" s="19" t="str">
        <f t="shared" si="0"/>
        <v>NO</v>
      </c>
      <c r="K46" s="23" t="s">
        <v>94</v>
      </c>
      <c r="N46" s="20">
        <f ca="1">_xlfn.XLOOKUP(A46,FACTURA!A:A,FACTURA!F:F,"NO APLICA")</f>
        <v>46102</v>
      </c>
    </row>
    <row r="47" spans="1:14" x14ac:dyDescent="0.25">
      <c r="H47" s="19" t="str">
        <f>_xlfn.XLOOKUP(A47,FACTURA!A:A,FACTURA!E:E,"NO PLANIFICADO")</f>
        <v>NO PLANIFICADO</v>
      </c>
      <c r="I47" s="19" t="str">
        <f t="shared" si="0"/>
        <v>NO</v>
      </c>
      <c r="K47" s="23" t="s">
        <v>94</v>
      </c>
      <c r="N47" s="20">
        <f ca="1">_xlfn.XLOOKUP(A47,FACTURA!A:A,FACTURA!F:F,"NO APLICA")</f>
        <v>46102</v>
      </c>
    </row>
    <row r="48" spans="1:14" x14ac:dyDescent="0.25">
      <c r="H48" s="19" t="str">
        <f ca="1">_xlfn.XLOOKUP(A48,FACTURA!A:A,FACTURA!E:E,"NO PLANIFICADO")</f>
        <v>PLANIFICADA</v>
      </c>
      <c r="I48" s="19" t="str">
        <f t="shared" si="0"/>
        <v>NO</v>
      </c>
      <c r="K48" s="23" t="s">
        <v>94</v>
      </c>
      <c r="N48" s="20" t="str">
        <f>_xlfn.XLOOKUP(A48,FACTURA!A:A,FACTURA!F:F,"NO APLICA")</f>
        <v>NO APLICA</v>
      </c>
    </row>
    <row r="49" spans="8:14" x14ac:dyDescent="0.25">
      <c r="H49" s="19" t="str">
        <f>_xlfn.XLOOKUP(A49,FACTURA!A:A,FACTURA!E:E,"NO PLANIFICADO")</f>
        <v>NO PLANIFICADO</v>
      </c>
      <c r="I49" s="19" t="str">
        <f t="shared" si="0"/>
        <v>NO</v>
      </c>
      <c r="K49" s="23" t="s">
        <v>94</v>
      </c>
      <c r="N49" s="20" t="str">
        <f>_xlfn.XLOOKUP(A49,FACTURA!A:A,FACTURA!F:F,"NO APLICA")</f>
        <v>NO APLICA</v>
      </c>
    </row>
    <row r="50" spans="8:14" x14ac:dyDescent="0.25">
      <c r="H50" s="19" t="str">
        <f>_xlfn.XLOOKUP(A50,FACTURA!A:A,FACTURA!E:E,"NO PLANIFICADO")</f>
        <v>NO PLANIFICADO</v>
      </c>
      <c r="I50" s="19" t="str">
        <f t="shared" si="0"/>
        <v>NO</v>
      </c>
      <c r="K50" s="23" t="s">
        <v>94</v>
      </c>
      <c r="N50" s="20" t="str">
        <f>_xlfn.XLOOKUP(A50,FACTURA!A:A,FACTURA!F:F,"NO APLICA")</f>
        <v>NO APLICA</v>
      </c>
    </row>
    <row r="51" spans="8:14" x14ac:dyDescent="0.25">
      <c r="H51" s="19" t="str">
        <f>_xlfn.XLOOKUP(A51,FACTURA!A:A,FACTURA!E:E,"NO PLANIFICADO")</f>
        <v>NO PLANIFICADO</v>
      </c>
      <c r="I51" s="19" t="str">
        <f t="shared" si="0"/>
        <v>NO</v>
      </c>
      <c r="K51" s="23" t="s">
        <v>94</v>
      </c>
      <c r="N51" s="20" t="str">
        <f>_xlfn.XLOOKUP(A51,FACTURA!A:A,FACTURA!F:F,"NO APLICA")</f>
        <v>NO APLICA</v>
      </c>
    </row>
    <row r="52" spans="8:14" x14ac:dyDescent="0.25">
      <c r="H52" s="19" t="str">
        <f>_xlfn.XLOOKUP(A52,FACTURA!A:A,FACTURA!E:E,"NO PLANIFICADO")</f>
        <v>NO PLANIFICADO</v>
      </c>
      <c r="I52" s="19" t="str">
        <f t="shared" si="0"/>
        <v>NO</v>
      </c>
      <c r="K52" s="23" t="s">
        <v>94</v>
      </c>
      <c r="N52" s="20" t="str">
        <f>_xlfn.XLOOKUP(A52,FACTURA!A:A,FACTURA!F:F,"NO APLICA")</f>
        <v>NO APLICA</v>
      </c>
    </row>
    <row r="53" spans="8:14" x14ac:dyDescent="0.25">
      <c r="H53" s="19" t="str">
        <f>_xlfn.XLOOKUP(A53,FACTURA!A:A,FACTURA!E:E,"NO PLANIFICADO")</f>
        <v>NO PLANIFICADO</v>
      </c>
      <c r="I53" s="19" t="str">
        <f t="shared" si="0"/>
        <v>NO</v>
      </c>
      <c r="K53" s="23" t="s">
        <v>94</v>
      </c>
      <c r="N53" s="20" t="str">
        <f>_xlfn.XLOOKUP(A53,FACTURA!A:A,FACTURA!F:F,"NO APLICA")</f>
        <v>NO APLICA</v>
      </c>
    </row>
    <row r="54" spans="8:14" x14ac:dyDescent="0.25">
      <c r="H54" s="19" t="str">
        <f>_xlfn.XLOOKUP(A54,FACTURA!A:A,FACTURA!E:E,"NO PLANIFICADO")</f>
        <v>NO PLANIFICADO</v>
      </c>
      <c r="I54" s="19" t="str">
        <f t="shared" si="0"/>
        <v>NO</v>
      </c>
      <c r="K54" s="23" t="s">
        <v>94</v>
      </c>
      <c r="N54" s="20" t="str">
        <f>_xlfn.XLOOKUP(A54,FACTURA!A:A,FACTURA!F:F,"NO APLICA")</f>
        <v>NO APLICA</v>
      </c>
    </row>
    <row r="55" spans="8:14" x14ac:dyDescent="0.25">
      <c r="H55" s="19" t="str">
        <f>_xlfn.XLOOKUP(A55,FACTURA!A:A,FACTURA!E:E,"NO PLANIFICADO")</f>
        <v>NO PLANIFICADO</v>
      </c>
      <c r="I55" s="19" t="str">
        <f t="shared" si="0"/>
        <v>NO</v>
      </c>
      <c r="K55" s="23" t="s">
        <v>94</v>
      </c>
      <c r="N55" s="20" t="str">
        <f>_xlfn.XLOOKUP(A55,FACTURA!A:A,FACTURA!F:F,"NO APLICA")</f>
        <v>NO APLICA</v>
      </c>
    </row>
    <row r="56" spans="8:14" x14ac:dyDescent="0.25">
      <c r="H56" s="19" t="str">
        <f>_xlfn.XLOOKUP(A56,FACTURA!A:A,FACTURA!E:E,"NO PLANIFICADO")</f>
        <v>NO PLANIFICADO</v>
      </c>
      <c r="I56" s="19" t="str">
        <f t="shared" si="0"/>
        <v>NO</v>
      </c>
      <c r="K56" s="23" t="s">
        <v>94</v>
      </c>
      <c r="N56" s="20" t="str">
        <f>_xlfn.XLOOKUP(A56,FACTURA!A:A,FACTURA!F:F,"NO APLICA")</f>
        <v>NO APLICA</v>
      </c>
    </row>
    <row r="57" spans="8:14" x14ac:dyDescent="0.25">
      <c r="H57" s="19" t="str">
        <f>_xlfn.XLOOKUP(A57,FACTURA!A:A,FACTURA!E:E,"NO PLANIFICADO")</f>
        <v>NO PLANIFICADO</v>
      </c>
      <c r="I57" s="19" t="str">
        <f t="shared" si="0"/>
        <v>NO</v>
      </c>
      <c r="K57" s="23" t="s">
        <v>94</v>
      </c>
      <c r="N57" s="20">
        <f ca="1">_xlfn.XLOOKUP(A57,FACTURA!A:A,FACTURA!F:F,"NO APLICA")</f>
        <v>46102</v>
      </c>
    </row>
    <row r="58" spans="8:14" x14ac:dyDescent="0.25">
      <c r="H58" s="19" t="str">
        <f>_xlfn.XLOOKUP(A58,FACTURA!A:A,FACTURA!E:E,"NO PLANIFICADO")</f>
        <v>NO PLANIFICADO</v>
      </c>
      <c r="I58" s="19" t="str">
        <f t="shared" si="0"/>
        <v>NO</v>
      </c>
      <c r="K58" s="23" t="s">
        <v>94</v>
      </c>
      <c r="N58" s="20">
        <f ca="1">_xlfn.XLOOKUP(A58,FACTURA!A:A,FACTURA!F:F,"NO APLICA")</f>
        <v>46102</v>
      </c>
    </row>
    <row r="59" spans="8:14" x14ac:dyDescent="0.25">
      <c r="H59" s="19" t="str">
        <f>_xlfn.XLOOKUP(A59,FACTURA!A:A,FACTURA!E:E,"NO PLANIFICADO")</f>
        <v>NO PLANIFICADO</v>
      </c>
      <c r="I59" s="19" t="str">
        <f t="shared" si="0"/>
        <v>NO</v>
      </c>
      <c r="K59" s="23" t="s">
        <v>94</v>
      </c>
      <c r="N59" s="20" t="str">
        <f>_xlfn.XLOOKUP(A59,FACTURA!A:A,FACTURA!F:F,"NO APLICA")</f>
        <v>NO APLICA</v>
      </c>
    </row>
    <row r="60" spans="8:14" x14ac:dyDescent="0.25">
      <c r="H60" s="19" t="str">
        <f>_xlfn.XLOOKUP(A60,FACTURA!A:A,FACTURA!E:E,"NO PLANIFICADO")</f>
        <v>NO PLANIFICADO</v>
      </c>
      <c r="I60" s="19" t="str">
        <f t="shared" si="0"/>
        <v>NO</v>
      </c>
      <c r="K60" s="23" t="s">
        <v>94</v>
      </c>
      <c r="N60" s="20">
        <f ca="1">_xlfn.XLOOKUP(A60,FACTURA!A:A,FACTURA!F:F,"NO APLICA")</f>
        <v>46102</v>
      </c>
    </row>
    <row r="61" spans="8:14" x14ac:dyDescent="0.25">
      <c r="H61" s="19" t="str">
        <f>_xlfn.XLOOKUP(A61,FACTURA!A:A,FACTURA!E:E,"NO PLANIFICADO")</f>
        <v>NO PLANIFICADO</v>
      </c>
      <c r="I61" s="19" t="str">
        <f t="shared" si="0"/>
        <v>NO</v>
      </c>
      <c r="K61" s="23" t="s">
        <v>94</v>
      </c>
      <c r="N61" s="20" t="str">
        <f>_xlfn.XLOOKUP(A61,FACTURA!A:A,FACTURA!F:F,"NO APLICA")</f>
        <v>NO APLICA</v>
      </c>
    </row>
    <row r="62" spans="8:14" x14ac:dyDescent="0.25">
      <c r="H62" s="19" t="str">
        <f ca="1">_xlfn.XLOOKUP(A62,FACTURA!A:A,FACTURA!E:E,"NO PLANIFICADO")</f>
        <v>PLANIFICADA</v>
      </c>
      <c r="I62" s="19" t="str">
        <f t="shared" si="0"/>
        <v>NO</v>
      </c>
      <c r="K62" s="23" t="s">
        <v>94</v>
      </c>
      <c r="N62" s="20" t="str">
        <f>_xlfn.XLOOKUP(A62,FACTURA!A:A,FACTURA!F:F,"NO APLICA")</f>
        <v>NO APLICA</v>
      </c>
    </row>
    <row r="63" spans="8:14" x14ac:dyDescent="0.25">
      <c r="H63" s="19" t="str">
        <f>_xlfn.XLOOKUP(A63,FACTURA!A:A,FACTURA!E:E,"NO PLANIFICADO")</f>
        <v>NO PLANIFICADO</v>
      </c>
      <c r="I63" s="19" t="str">
        <f t="shared" si="0"/>
        <v>NO</v>
      </c>
      <c r="K63" s="23" t="s">
        <v>94</v>
      </c>
      <c r="N63" s="20" t="str">
        <f>_xlfn.XLOOKUP(A63,FACTURA!A:A,FACTURA!F:F,"NO APLICA")</f>
        <v>NO APLICA</v>
      </c>
    </row>
    <row r="64" spans="8:14" x14ac:dyDescent="0.25">
      <c r="H64" s="19" t="str">
        <f>_xlfn.XLOOKUP(A64,FACTURA!A:A,FACTURA!E:E,"NO PLANIFICADO")</f>
        <v>NO PLANIFICADO</v>
      </c>
      <c r="I64" s="19" t="str">
        <f t="shared" si="0"/>
        <v>NO</v>
      </c>
      <c r="K64" s="23" t="s">
        <v>94</v>
      </c>
      <c r="N64" s="20" t="str">
        <f>_xlfn.XLOOKUP(A64,FACTURA!A:A,FACTURA!F:F,"NO APLICA")</f>
        <v>NO APLICA</v>
      </c>
    </row>
    <row r="65" spans="8:14" x14ac:dyDescent="0.25">
      <c r="H65" s="19" t="str">
        <f>_xlfn.XLOOKUP(A65,FACTURA!A:A,FACTURA!E:E,"NO PLANIFICADO")</f>
        <v>NO PLANIFICADO</v>
      </c>
      <c r="I65" s="19" t="str">
        <f t="shared" si="0"/>
        <v>NO</v>
      </c>
      <c r="K65" s="23" t="s">
        <v>94</v>
      </c>
      <c r="N65" s="20" t="str">
        <f>_xlfn.XLOOKUP(A65,FACTURA!A:A,FACTURA!F:F,"NO APLICA")</f>
        <v>NO APLICA</v>
      </c>
    </row>
    <row r="66" spans="8:14" x14ac:dyDescent="0.25">
      <c r="H66" s="19" t="str">
        <f ca="1">_xlfn.XLOOKUP(A66,FACTURA!A:A,FACTURA!E:E,"NO PLANIFICADO")</f>
        <v>PLANIFICADA</v>
      </c>
      <c r="I66" s="19" t="str">
        <f t="shared" ref="I66:I129" si="1">IF(OR(E66="V.TECNICA",E66="PROYECTO",E66="IMPLEMENTACION"),"SI","NO")</f>
        <v>NO</v>
      </c>
      <c r="K66" s="23" t="s">
        <v>94</v>
      </c>
      <c r="N66" s="20" t="str">
        <f>_xlfn.XLOOKUP(A66,FACTURA!A:A,FACTURA!F:F,"NO APLICA")</f>
        <v>NO APLICA</v>
      </c>
    </row>
    <row r="67" spans="8:14" x14ac:dyDescent="0.25">
      <c r="H67" s="19" t="str">
        <f>_xlfn.XLOOKUP(A67,FACTURA!A:A,FACTURA!E:E,"NO PLANIFICADO")</f>
        <v>NO PLANIFICADO</v>
      </c>
      <c r="I67" s="19" t="str">
        <f t="shared" si="1"/>
        <v>NO</v>
      </c>
      <c r="K67" s="23" t="s">
        <v>94</v>
      </c>
      <c r="N67" s="20" t="str">
        <f>_xlfn.XLOOKUP(A67,FACTURA!A:A,FACTURA!F:F,"NO APLICA")</f>
        <v>NO APLICA</v>
      </c>
    </row>
    <row r="68" spans="8:14" x14ac:dyDescent="0.25">
      <c r="H68" s="19" t="str">
        <f>_xlfn.XLOOKUP(A68,FACTURA!A:A,FACTURA!E:E,"NO PLANIFICADO")</f>
        <v>NO PLANIFICADO</v>
      </c>
      <c r="I68" s="19" t="str">
        <f t="shared" si="1"/>
        <v>NO</v>
      </c>
      <c r="K68" s="23" t="s">
        <v>94</v>
      </c>
      <c r="N68" s="20" t="str">
        <f>_xlfn.XLOOKUP(A68,FACTURA!A:A,FACTURA!F:F,"NO APLICA")</f>
        <v>NO APLICA</v>
      </c>
    </row>
    <row r="69" spans="8:14" x14ac:dyDescent="0.25">
      <c r="H69" s="19" t="str">
        <f>_xlfn.XLOOKUP(A69,FACTURA!A:A,FACTURA!E:E,"NO PLANIFICADO")</f>
        <v>NO PLANIFICADO</v>
      </c>
      <c r="I69" s="19" t="str">
        <f t="shared" si="1"/>
        <v>NO</v>
      </c>
      <c r="K69" s="23" t="s">
        <v>94</v>
      </c>
      <c r="N69" s="20">
        <f ca="1">_xlfn.XLOOKUP(A69,FACTURA!A:A,FACTURA!F:F,"NO APLICA")</f>
        <v>46102</v>
      </c>
    </row>
    <row r="70" spans="8:14" x14ac:dyDescent="0.25">
      <c r="H70" s="19" t="str">
        <f>_xlfn.XLOOKUP(A70,FACTURA!A:A,FACTURA!E:E,"NO PLANIFICADO")</f>
        <v>NO PLANIFICADO</v>
      </c>
      <c r="I70" s="19" t="str">
        <f t="shared" si="1"/>
        <v>NO</v>
      </c>
      <c r="K70" s="23" t="s">
        <v>94</v>
      </c>
      <c r="N70" s="20" t="str">
        <f>_xlfn.XLOOKUP(A70,FACTURA!A:A,FACTURA!F:F,"NO APLICA")</f>
        <v>NO APLICA</v>
      </c>
    </row>
    <row r="71" spans="8:14" x14ac:dyDescent="0.25">
      <c r="H71" s="19" t="str">
        <f>_xlfn.XLOOKUP(A71,FACTURA!A:A,FACTURA!E:E,"NO PLANIFICADO")</f>
        <v>NO PLANIFICADO</v>
      </c>
      <c r="I71" s="19" t="str">
        <f t="shared" si="1"/>
        <v>NO</v>
      </c>
      <c r="K71" s="23" t="s">
        <v>94</v>
      </c>
      <c r="N71" s="20" t="str">
        <f>_xlfn.XLOOKUP(A71,FACTURA!A:A,FACTURA!F:F,"NO APLICA")</f>
        <v>NO APLICA</v>
      </c>
    </row>
    <row r="72" spans="8:14" x14ac:dyDescent="0.25">
      <c r="H72" s="19" t="str">
        <f>_xlfn.XLOOKUP(A72,FACTURA!A:A,FACTURA!E:E,"NO PLANIFICADO")</f>
        <v>NO PLANIFICADO</v>
      </c>
      <c r="I72" s="19" t="str">
        <f t="shared" si="1"/>
        <v>NO</v>
      </c>
      <c r="K72" s="23" t="s">
        <v>94</v>
      </c>
      <c r="N72" s="20" t="str">
        <f>_xlfn.XLOOKUP(A72,FACTURA!A:A,FACTURA!F:F,"NO APLICA")</f>
        <v>NO APLICA</v>
      </c>
    </row>
    <row r="73" spans="8:14" x14ac:dyDescent="0.25">
      <c r="H73" s="19" t="str">
        <f>_xlfn.XLOOKUP(A73,FACTURA!A:A,FACTURA!E:E,"NO PLANIFICADO")</f>
        <v>NO PLANIFICADO</v>
      </c>
      <c r="I73" s="19" t="str">
        <f t="shared" si="1"/>
        <v>NO</v>
      </c>
      <c r="K73" s="23" t="s">
        <v>94</v>
      </c>
      <c r="N73" s="20" t="str">
        <f>_xlfn.XLOOKUP(A73,FACTURA!A:A,FACTURA!F:F,"NO APLICA")</f>
        <v>NO APLICA</v>
      </c>
    </row>
    <row r="74" spans="8:14" x14ac:dyDescent="0.25">
      <c r="H74" s="19" t="str">
        <f>_xlfn.XLOOKUP(A74,FACTURA!A:A,FACTURA!E:E,"NO PLANIFICADO")</f>
        <v>NO PLANIFICADO</v>
      </c>
      <c r="I74" s="19" t="str">
        <f t="shared" si="1"/>
        <v>NO</v>
      </c>
      <c r="K74" s="23" t="s">
        <v>94</v>
      </c>
      <c r="N74" s="20" t="str">
        <f>_xlfn.XLOOKUP(A74,FACTURA!A:A,FACTURA!F:F,"NO APLICA")</f>
        <v>NO APLICA</v>
      </c>
    </row>
    <row r="75" spans="8:14" x14ac:dyDescent="0.25">
      <c r="H75" s="19" t="str">
        <f>_xlfn.XLOOKUP(A75,FACTURA!A:A,FACTURA!E:E,"NO PLANIFICADO")</f>
        <v>NO PLANIFICADO</v>
      </c>
      <c r="I75" s="19" t="str">
        <f t="shared" si="1"/>
        <v>NO</v>
      </c>
      <c r="K75" s="23" t="s">
        <v>94</v>
      </c>
      <c r="N75" s="20" t="str">
        <f>_xlfn.XLOOKUP(A75,FACTURA!A:A,FACTURA!F:F,"NO APLICA")</f>
        <v>NO APLICA</v>
      </c>
    </row>
    <row r="76" spans="8:14" x14ac:dyDescent="0.25">
      <c r="H76" s="19" t="str">
        <f>_xlfn.XLOOKUP(A76,FACTURA!A:A,FACTURA!E:E,"NO PLANIFICADO")</f>
        <v>NO PLANIFICADO</v>
      </c>
      <c r="I76" s="19" t="str">
        <f t="shared" si="1"/>
        <v>NO</v>
      </c>
      <c r="K76" s="23" t="s">
        <v>94</v>
      </c>
      <c r="N76" s="20" t="str">
        <f>_xlfn.XLOOKUP(A76,FACTURA!A:A,FACTURA!F:F,"NO APLICA")</f>
        <v>NO APLICA</v>
      </c>
    </row>
    <row r="77" spans="8:14" x14ac:dyDescent="0.25">
      <c r="H77" s="19" t="str">
        <f>_xlfn.XLOOKUP(A77,FACTURA!A:A,FACTURA!E:E,"NO PLANIFICADO")</f>
        <v>NO PLANIFICADO</v>
      </c>
      <c r="I77" s="19" t="str">
        <f t="shared" si="1"/>
        <v>NO</v>
      </c>
      <c r="K77" s="23" t="s">
        <v>94</v>
      </c>
      <c r="N77" s="20" t="str">
        <f>_xlfn.XLOOKUP(A77,FACTURA!A:A,FACTURA!F:F,"NO APLICA")</f>
        <v>NO APLICA</v>
      </c>
    </row>
    <row r="78" spans="8:14" x14ac:dyDescent="0.25">
      <c r="H78" s="19" t="str">
        <f>_xlfn.XLOOKUP(A78,FACTURA!A:A,FACTURA!E:E,"NO PLANIFICADO")</f>
        <v>NO PLANIFICADO</v>
      </c>
      <c r="I78" s="19" t="str">
        <f t="shared" si="1"/>
        <v>NO</v>
      </c>
      <c r="K78" s="23" t="s">
        <v>94</v>
      </c>
      <c r="N78" s="20" t="str">
        <f>_xlfn.XLOOKUP(A78,FACTURA!A:A,FACTURA!F:F,"NO APLICA")</f>
        <v>NO APLICA</v>
      </c>
    </row>
    <row r="79" spans="8:14" x14ac:dyDescent="0.25">
      <c r="H79" s="19" t="str">
        <f ca="1">_xlfn.XLOOKUP(A79,FACTURA!A:A,FACTURA!E:E,"NO PLANIFICADO")</f>
        <v>PLANIFICADA</v>
      </c>
      <c r="I79" s="19" t="str">
        <f t="shared" si="1"/>
        <v>NO</v>
      </c>
      <c r="K79" s="23" t="s">
        <v>94</v>
      </c>
      <c r="N79" s="20" t="str">
        <f>_xlfn.XLOOKUP(A79,FACTURA!A:A,FACTURA!F:F,"NO APLICA")</f>
        <v>NO APLICA</v>
      </c>
    </row>
    <row r="80" spans="8:14" x14ac:dyDescent="0.25">
      <c r="H80" s="19" t="str">
        <f>_xlfn.XLOOKUP(A80,FACTURA!A:A,FACTURA!E:E,"NO PLANIFICADO")</f>
        <v>NO PLANIFICADO</v>
      </c>
      <c r="I80" s="19" t="str">
        <f t="shared" si="1"/>
        <v>NO</v>
      </c>
      <c r="K80" s="23" t="s">
        <v>94</v>
      </c>
      <c r="N80" s="20" t="str">
        <f>_xlfn.XLOOKUP(A80,FACTURA!A:A,FACTURA!F:F,"NO APLICA")</f>
        <v>NO APLICA</v>
      </c>
    </row>
    <row r="81" spans="8:14" x14ac:dyDescent="0.25">
      <c r="H81" s="19" t="str">
        <f>_xlfn.XLOOKUP(A81,FACTURA!A:A,FACTURA!E:E,"NO PLANIFICADO")</f>
        <v>NO PLANIFICADO</v>
      </c>
      <c r="I81" s="19" t="str">
        <f t="shared" si="1"/>
        <v>NO</v>
      </c>
      <c r="K81" s="23" t="s">
        <v>94</v>
      </c>
      <c r="N81" s="20" t="str">
        <f>_xlfn.XLOOKUP(A81,FACTURA!A:A,FACTURA!F:F,"NO APLICA")</f>
        <v>NO APLICA</v>
      </c>
    </row>
    <row r="82" spans="8:14" x14ac:dyDescent="0.25">
      <c r="H82" s="19" t="str">
        <f>_xlfn.XLOOKUP(A82,FACTURA!A:A,FACTURA!E:E,"NO PLANIFICADO")</f>
        <v>NO PLANIFICADO</v>
      </c>
      <c r="I82" s="19" t="str">
        <f t="shared" si="1"/>
        <v>NO</v>
      </c>
      <c r="K82" s="23" t="s">
        <v>94</v>
      </c>
      <c r="N82" s="20">
        <f ca="1">_xlfn.XLOOKUP(A82,FACTURA!A:A,FACTURA!F:F,"NO APLICA")</f>
        <v>46102</v>
      </c>
    </row>
    <row r="83" spans="8:14" x14ac:dyDescent="0.25">
      <c r="H83" s="19" t="str">
        <f>_xlfn.XLOOKUP(A83,FACTURA!A:A,FACTURA!E:E,"NO PLANIFICADO")</f>
        <v>NO PLANIFICADO</v>
      </c>
      <c r="I83" s="19" t="str">
        <f t="shared" si="1"/>
        <v>NO</v>
      </c>
      <c r="K83" s="23" t="s">
        <v>94</v>
      </c>
      <c r="N83" s="20" t="str">
        <f>_xlfn.XLOOKUP(A83,FACTURA!A:A,FACTURA!F:F,"NO APLICA")</f>
        <v>NO APLICA</v>
      </c>
    </row>
    <row r="84" spans="8:14" x14ac:dyDescent="0.25">
      <c r="H84" s="19" t="str">
        <f>_xlfn.XLOOKUP(A84,FACTURA!A:A,FACTURA!E:E,"NO PLANIFICADO")</f>
        <v>NO PLANIFICADO</v>
      </c>
      <c r="I84" s="19" t="str">
        <f t="shared" si="1"/>
        <v>NO</v>
      </c>
      <c r="K84" s="23" t="s">
        <v>94</v>
      </c>
      <c r="N84" s="20" t="str">
        <f>_xlfn.XLOOKUP(A84,FACTURA!A:A,FACTURA!F:F,"NO APLICA")</f>
        <v>NO APLICA</v>
      </c>
    </row>
    <row r="85" spans="8:14" x14ac:dyDescent="0.25">
      <c r="H85" s="19" t="str">
        <f>_xlfn.XLOOKUP(A85,FACTURA!A:A,FACTURA!E:E,"NO PLANIFICADO")</f>
        <v>NO PLANIFICADO</v>
      </c>
      <c r="I85" s="19" t="str">
        <f t="shared" si="1"/>
        <v>NO</v>
      </c>
      <c r="K85" s="23" t="s">
        <v>94</v>
      </c>
      <c r="N85" s="20" t="str">
        <f>_xlfn.XLOOKUP(A85,FACTURA!A:A,FACTURA!F:F,"NO APLICA")</f>
        <v>NO APLICA</v>
      </c>
    </row>
    <row r="86" spans="8:14" x14ac:dyDescent="0.25">
      <c r="H86" s="19" t="str">
        <f>_xlfn.XLOOKUP(A86,FACTURA!A:A,FACTURA!E:E,"NO PLANIFICADO")</f>
        <v>NO PLANIFICADO</v>
      </c>
      <c r="I86" s="19" t="str">
        <f t="shared" si="1"/>
        <v>NO</v>
      </c>
      <c r="K86" s="23" t="s">
        <v>94</v>
      </c>
      <c r="N86" s="20" t="str">
        <f>_xlfn.XLOOKUP(A86,FACTURA!A:A,FACTURA!F:F,"NO APLICA")</f>
        <v>NO APLICA</v>
      </c>
    </row>
    <row r="87" spans="8:14" x14ac:dyDescent="0.25">
      <c r="H87" s="19" t="str">
        <f ca="1">_xlfn.XLOOKUP(A87,FACTURA!A:A,FACTURA!E:E,"NO PLANIFICADO")</f>
        <v>PLANIFICADA</v>
      </c>
      <c r="I87" s="19" t="str">
        <f t="shared" si="1"/>
        <v>NO</v>
      </c>
      <c r="K87" s="23" t="s">
        <v>94</v>
      </c>
      <c r="N87" s="20" t="str">
        <f>_xlfn.XLOOKUP(A87,FACTURA!A:A,FACTURA!F:F,"NO APLICA")</f>
        <v>NO APLICA</v>
      </c>
    </row>
    <row r="88" spans="8:14" x14ac:dyDescent="0.25">
      <c r="H88" s="19" t="str">
        <f>_xlfn.XLOOKUP(A88,FACTURA!A:A,FACTURA!E:E,"NO PLANIFICADO")</f>
        <v>NO PLANIFICADO</v>
      </c>
      <c r="I88" s="19" t="str">
        <f t="shared" si="1"/>
        <v>NO</v>
      </c>
      <c r="K88" s="23" t="s">
        <v>94</v>
      </c>
      <c r="N88" s="20" t="str">
        <f>_xlfn.XLOOKUP(A88,FACTURA!A:A,FACTURA!F:F,"NO APLICA")</f>
        <v>NO APLICA</v>
      </c>
    </row>
    <row r="89" spans="8:14" x14ac:dyDescent="0.25">
      <c r="H89" s="19" t="str">
        <f>_xlfn.XLOOKUP(A89,FACTURA!A:A,FACTURA!E:E,"NO PLANIFICADO")</f>
        <v>NO PLANIFICADO</v>
      </c>
      <c r="I89" s="19" t="str">
        <f t="shared" si="1"/>
        <v>NO</v>
      </c>
      <c r="K89" s="23" t="s">
        <v>94</v>
      </c>
      <c r="N89" s="20" t="str">
        <f>_xlfn.XLOOKUP(A89,FACTURA!A:A,FACTURA!F:F,"NO APLICA")</f>
        <v>NO APLICA</v>
      </c>
    </row>
    <row r="90" spans="8:14" x14ac:dyDescent="0.25">
      <c r="H90" s="19" t="str">
        <f>_xlfn.XLOOKUP(A90,FACTURA!A:A,FACTURA!E:E,"NO PLANIFICADO")</f>
        <v>NO PLANIFICADO</v>
      </c>
      <c r="I90" s="19" t="str">
        <f t="shared" si="1"/>
        <v>NO</v>
      </c>
      <c r="K90" s="23" t="s">
        <v>94</v>
      </c>
      <c r="N90" s="20" t="str">
        <f>_xlfn.XLOOKUP(A90,FACTURA!A:A,FACTURA!F:F,"NO APLICA")</f>
        <v>NO APLICA</v>
      </c>
    </row>
    <row r="91" spans="8:14" x14ac:dyDescent="0.25">
      <c r="H91" s="19" t="str">
        <f ca="1">_xlfn.XLOOKUP(A91,FACTURA!A:A,FACTURA!E:E,"NO PLANIFICADO")</f>
        <v>PLANIFICADA</v>
      </c>
      <c r="I91" s="19" t="str">
        <f t="shared" si="1"/>
        <v>NO</v>
      </c>
      <c r="K91" s="23" t="s">
        <v>94</v>
      </c>
      <c r="N91" s="20" t="str">
        <f>_xlfn.XLOOKUP(A91,FACTURA!A:A,FACTURA!F:F,"NO APLICA")</f>
        <v>NO APLICA</v>
      </c>
    </row>
    <row r="92" spans="8:14" x14ac:dyDescent="0.25">
      <c r="H92" s="19" t="str">
        <f>_xlfn.XLOOKUP(A92,FACTURA!A:A,FACTURA!E:E,"NO PLANIFICADO")</f>
        <v>NO PLANIFICADO</v>
      </c>
      <c r="I92" s="19" t="str">
        <f t="shared" si="1"/>
        <v>NO</v>
      </c>
      <c r="K92" s="23" t="s">
        <v>94</v>
      </c>
      <c r="N92" s="20" t="str">
        <f>_xlfn.XLOOKUP(A92,FACTURA!A:A,FACTURA!F:F,"NO APLICA")</f>
        <v>NO APLICA</v>
      </c>
    </row>
    <row r="93" spans="8:14" x14ac:dyDescent="0.25">
      <c r="H93" s="19" t="str">
        <f>_xlfn.XLOOKUP(A93,FACTURA!A:A,FACTURA!E:E,"NO PLANIFICADO")</f>
        <v>NO PLANIFICADO</v>
      </c>
      <c r="I93" s="19" t="str">
        <f t="shared" si="1"/>
        <v>NO</v>
      </c>
      <c r="K93" s="23" t="s">
        <v>94</v>
      </c>
      <c r="N93" s="20">
        <f ca="1">_xlfn.XLOOKUP(A93,FACTURA!A:A,FACTURA!F:F,"NO APLICA")</f>
        <v>46102</v>
      </c>
    </row>
    <row r="94" spans="8:14" x14ac:dyDescent="0.25">
      <c r="H94" s="19" t="str">
        <f ca="1">_xlfn.XLOOKUP(A94,FACTURA!A:A,FACTURA!E:E,"NO PLANIFICADO")</f>
        <v>PLANIFICADA</v>
      </c>
      <c r="I94" s="19" t="str">
        <f t="shared" si="1"/>
        <v>NO</v>
      </c>
      <c r="K94" s="23" t="s">
        <v>94</v>
      </c>
      <c r="N94" s="20">
        <f ca="1">_xlfn.XLOOKUP(A94,FACTURA!A:A,FACTURA!F:F,"NO APLICA")</f>
        <v>46102</v>
      </c>
    </row>
    <row r="95" spans="8:14" x14ac:dyDescent="0.25">
      <c r="H95" s="19" t="str">
        <f>_xlfn.XLOOKUP(A95,FACTURA!A:A,FACTURA!E:E,"NO PLANIFICADO")</f>
        <v>NO PLANIFICADO</v>
      </c>
      <c r="I95" s="19" t="str">
        <f t="shared" si="1"/>
        <v>NO</v>
      </c>
      <c r="K95" s="23" t="s">
        <v>94</v>
      </c>
      <c r="N95" s="20" t="str">
        <f>_xlfn.XLOOKUP(A95,FACTURA!A:A,FACTURA!F:F,"NO APLICA")</f>
        <v>NO APLICA</v>
      </c>
    </row>
    <row r="96" spans="8:14" x14ac:dyDescent="0.25">
      <c r="H96" s="19" t="str">
        <f>_xlfn.XLOOKUP(A96,FACTURA!A:A,FACTURA!E:E,"NO PLANIFICADO")</f>
        <v>NO PLANIFICADO</v>
      </c>
      <c r="I96" s="19" t="str">
        <f t="shared" si="1"/>
        <v>NO</v>
      </c>
      <c r="K96" s="23" t="s">
        <v>94</v>
      </c>
      <c r="N96" s="20" t="str">
        <f>_xlfn.XLOOKUP(A96,FACTURA!A:A,FACTURA!F:F,"NO APLICA")</f>
        <v>NO APLICA</v>
      </c>
    </row>
    <row r="97" spans="8:14" x14ac:dyDescent="0.25">
      <c r="H97" s="19" t="str">
        <f>_xlfn.XLOOKUP(A97,FACTURA!A:A,FACTURA!E:E,"NO PLANIFICADO")</f>
        <v>NO PLANIFICADO</v>
      </c>
      <c r="I97" s="19" t="str">
        <f t="shared" si="1"/>
        <v>NO</v>
      </c>
      <c r="K97" s="23" t="s">
        <v>94</v>
      </c>
      <c r="N97" s="20">
        <f ca="1">_xlfn.XLOOKUP(A97,FACTURA!A:A,FACTURA!F:F,"NO APLICA")</f>
        <v>46102</v>
      </c>
    </row>
    <row r="98" spans="8:14" x14ac:dyDescent="0.25">
      <c r="H98" s="19" t="str">
        <f>_xlfn.XLOOKUP(A98,FACTURA!A:A,FACTURA!E:E,"NO PLANIFICADO")</f>
        <v>NO PLANIFICADO</v>
      </c>
      <c r="I98" s="19" t="str">
        <f t="shared" si="1"/>
        <v>NO</v>
      </c>
      <c r="K98" s="23" t="s">
        <v>94</v>
      </c>
      <c r="N98" s="20" t="str">
        <f>_xlfn.XLOOKUP(A98,FACTURA!A:A,FACTURA!F:F,"NO APLICA")</f>
        <v>NO APLICA</v>
      </c>
    </row>
    <row r="99" spans="8:14" x14ac:dyDescent="0.25">
      <c r="H99" s="19" t="str">
        <f>_xlfn.XLOOKUP(A99,FACTURA!A:A,FACTURA!E:E,"NO PLANIFICADO")</f>
        <v>NO PLANIFICADO</v>
      </c>
      <c r="I99" s="19" t="str">
        <f t="shared" si="1"/>
        <v>NO</v>
      </c>
      <c r="K99" s="23" t="s">
        <v>94</v>
      </c>
      <c r="N99" s="20" t="str">
        <f>_xlfn.XLOOKUP(A99,FACTURA!A:A,FACTURA!F:F,"NO APLICA")</f>
        <v>NO APLICA</v>
      </c>
    </row>
    <row r="100" spans="8:14" x14ac:dyDescent="0.25">
      <c r="H100" s="19" t="str">
        <f>_xlfn.XLOOKUP(A100,FACTURA!A:A,FACTURA!E:E,"NO PLANIFICADO")</f>
        <v>NO PLANIFICADO</v>
      </c>
      <c r="I100" s="19" t="str">
        <f t="shared" si="1"/>
        <v>NO</v>
      </c>
      <c r="K100" s="23" t="s">
        <v>94</v>
      </c>
      <c r="N100" s="20" t="str">
        <f>_xlfn.XLOOKUP(A100,FACTURA!A:A,FACTURA!F:F,"NO APLICA")</f>
        <v>NO APLICA</v>
      </c>
    </row>
    <row r="101" spans="8:14" x14ac:dyDescent="0.25">
      <c r="H101" s="19" t="str">
        <f ca="1">_xlfn.XLOOKUP(A101,FACTURA!A:A,FACTURA!E:E,"NO PLANIFICADO")</f>
        <v>PLANIFICADA</v>
      </c>
      <c r="I101" s="19" t="str">
        <f t="shared" si="1"/>
        <v>NO</v>
      </c>
      <c r="K101" s="23" t="s">
        <v>94</v>
      </c>
      <c r="N101" s="20" t="str">
        <f>_xlfn.XLOOKUP(A101,FACTURA!A:A,FACTURA!F:F,"NO APLICA")</f>
        <v>NO APLICA</v>
      </c>
    </row>
    <row r="102" spans="8:14" x14ac:dyDescent="0.25">
      <c r="H102" s="19" t="str">
        <f ca="1">_xlfn.XLOOKUP(A102,FACTURA!A:A,FACTURA!E:E,"NO PLANIFICADO")</f>
        <v>PLANIFICADA</v>
      </c>
      <c r="I102" s="19" t="str">
        <f t="shared" si="1"/>
        <v>NO</v>
      </c>
      <c r="K102" s="23" t="s">
        <v>94</v>
      </c>
      <c r="N102" s="20" t="str">
        <f>_xlfn.XLOOKUP(A102,FACTURA!A:A,FACTURA!F:F,"NO APLICA")</f>
        <v>NO APLICA</v>
      </c>
    </row>
    <row r="103" spans="8:14" x14ac:dyDescent="0.25">
      <c r="H103" s="19" t="str">
        <f>_xlfn.XLOOKUP(A103,FACTURA!A:A,FACTURA!E:E,"NO PLANIFICADO")</f>
        <v>NO PLANIFICADO</v>
      </c>
      <c r="I103" s="19" t="str">
        <f t="shared" si="1"/>
        <v>NO</v>
      </c>
      <c r="K103" s="23" t="s">
        <v>94</v>
      </c>
      <c r="N103" s="20" t="str">
        <f>_xlfn.XLOOKUP(A103,FACTURA!A:A,FACTURA!F:F,"NO APLICA")</f>
        <v>NO APLICA</v>
      </c>
    </row>
    <row r="104" spans="8:14" x14ac:dyDescent="0.25">
      <c r="H104" s="19" t="str">
        <f>_xlfn.XLOOKUP(A104,FACTURA!A:A,FACTURA!E:E,"NO PLANIFICADO")</f>
        <v>NO PLANIFICADO</v>
      </c>
      <c r="I104" s="19" t="str">
        <f t="shared" si="1"/>
        <v>NO</v>
      </c>
      <c r="K104" s="23" t="s">
        <v>94</v>
      </c>
      <c r="N104" s="20" t="str">
        <f>_xlfn.XLOOKUP(A104,FACTURA!A:A,FACTURA!F:F,"NO APLICA")</f>
        <v>NO APLICA</v>
      </c>
    </row>
    <row r="105" spans="8:14" x14ac:dyDescent="0.25">
      <c r="H105" s="19" t="str">
        <f ca="1">_xlfn.XLOOKUP(A105,FACTURA!A:A,FACTURA!E:E,"NO PLANIFICADO")</f>
        <v>PLANIFICADA</v>
      </c>
      <c r="I105" s="19" t="str">
        <f t="shared" si="1"/>
        <v>NO</v>
      </c>
      <c r="K105" s="23" t="s">
        <v>94</v>
      </c>
      <c r="N105" s="20">
        <f ca="1">_xlfn.XLOOKUP(A105,FACTURA!A:A,FACTURA!F:F,"NO APLICA")</f>
        <v>46102</v>
      </c>
    </row>
    <row r="106" spans="8:14" x14ac:dyDescent="0.25">
      <c r="H106" s="19" t="str">
        <f>_xlfn.XLOOKUP(A106,FACTURA!A:A,FACTURA!E:E,"NO PLANIFICADO")</f>
        <v>NO PLANIFICADO</v>
      </c>
      <c r="I106" s="19" t="str">
        <f t="shared" si="1"/>
        <v>NO</v>
      </c>
      <c r="K106" s="23" t="s">
        <v>94</v>
      </c>
      <c r="N106" s="20" t="str">
        <f>_xlfn.XLOOKUP(A106,FACTURA!A:A,FACTURA!F:F,"NO APLICA")</f>
        <v>NO APLICA</v>
      </c>
    </row>
    <row r="107" spans="8:14" x14ac:dyDescent="0.25">
      <c r="H107" s="19" t="str">
        <f>_xlfn.XLOOKUP(A107,FACTURA!A:A,FACTURA!E:E,"NO PLANIFICADO")</f>
        <v>NO PLANIFICADO</v>
      </c>
      <c r="I107" s="19" t="str">
        <f t="shared" si="1"/>
        <v>NO</v>
      </c>
      <c r="K107" s="23" t="s">
        <v>94</v>
      </c>
      <c r="N107" s="20" t="str">
        <f>_xlfn.XLOOKUP(A107,FACTURA!A:A,FACTURA!F:F,"NO APLICA")</f>
        <v>NO APLICA</v>
      </c>
    </row>
    <row r="108" spans="8:14" x14ac:dyDescent="0.25">
      <c r="H108" s="19" t="str">
        <f>_xlfn.XLOOKUP(A108,FACTURA!A:A,FACTURA!E:E,"NO PLANIFICADO")</f>
        <v>NO PLANIFICADO</v>
      </c>
      <c r="I108" s="19" t="str">
        <f t="shared" si="1"/>
        <v>NO</v>
      </c>
      <c r="K108" s="23" t="s">
        <v>94</v>
      </c>
      <c r="N108" s="20" t="str">
        <f>_xlfn.XLOOKUP(A108,FACTURA!A:A,FACTURA!F:F,"NO APLICA")</f>
        <v>NO APLICA</v>
      </c>
    </row>
    <row r="109" spans="8:14" x14ac:dyDescent="0.25">
      <c r="H109" s="19" t="str">
        <f ca="1">_xlfn.XLOOKUP(A109,FACTURA!A:A,FACTURA!E:E,"NO PLANIFICADO")</f>
        <v>PLANIFICADA</v>
      </c>
      <c r="I109" s="19" t="str">
        <f t="shared" si="1"/>
        <v>NO</v>
      </c>
      <c r="K109" s="23" t="s">
        <v>94</v>
      </c>
      <c r="N109" s="20" t="str">
        <f>_xlfn.XLOOKUP(A109,FACTURA!A:A,FACTURA!F:F,"NO APLICA")</f>
        <v>NO APLICA</v>
      </c>
    </row>
    <row r="110" spans="8:14" x14ac:dyDescent="0.25">
      <c r="H110" s="19" t="str">
        <f ca="1">_xlfn.XLOOKUP(A110,FACTURA!A:A,FACTURA!E:E,"NO PLANIFICADO")</f>
        <v>PLANIFICADA</v>
      </c>
      <c r="I110" s="19" t="str">
        <f t="shared" si="1"/>
        <v>NO</v>
      </c>
      <c r="K110" s="23" t="s">
        <v>94</v>
      </c>
      <c r="N110" s="20" t="str">
        <f>_xlfn.XLOOKUP(A110,FACTURA!A:A,FACTURA!F:F,"NO APLICA")</f>
        <v>NO APLICA</v>
      </c>
    </row>
    <row r="111" spans="8:14" x14ac:dyDescent="0.25">
      <c r="H111" s="19" t="str">
        <f>_xlfn.XLOOKUP(A111,FACTURA!A:A,FACTURA!E:E,"NO PLANIFICADO")</f>
        <v>NO PLANIFICADO</v>
      </c>
      <c r="I111" s="19" t="str">
        <f t="shared" si="1"/>
        <v>NO</v>
      </c>
      <c r="K111" s="23" t="s">
        <v>94</v>
      </c>
      <c r="N111" s="20" t="str">
        <f>_xlfn.XLOOKUP(A111,FACTURA!A:A,FACTURA!F:F,"NO APLICA")</f>
        <v>NO APLICA</v>
      </c>
    </row>
    <row r="112" spans="8:14" x14ac:dyDescent="0.25">
      <c r="H112" s="19" t="str">
        <f>_xlfn.XLOOKUP(A112,FACTURA!A:A,FACTURA!E:E,"NO PLANIFICADO")</f>
        <v>NO PLANIFICADO</v>
      </c>
      <c r="I112" s="19" t="str">
        <f t="shared" si="1"/>
        <v>NO</v>
      </c>
      <c r="K112" s="23" t="s">
        <v>94</v>
      </c>
      <c r="N112" s="20" t="str">
        <f>_xlfn.XLOOKUP(A112,FACTURA!A:A,FACTURA!F:F,"NO APLICA")</f>
        <v>NO APLICA</v>
      </c>
    </row>
    <row r="113" spans="8:14" x14ac:dyDescent="0.25">
      <c r="H113" s="19" t="str">
        <f>_xlfn.XLOOKUP(A113,FACTURA!A:A,FACTURA!E:E,"NO PLANIFICADO")</f>
        <v>NO PLANIFICADO</v>
      </c>
      <c r="I113" s="19" t="str">
        <f t="shared" si="1"/>
        <v>NO</v>
      </c>
      <c r="K113" s="23" t="s">
        <v>94</v>
      </c>
      <c r="N113" s="20" t="str">
        <f>_xlfn.XLOOKUP(A113,FACTURA!A:A,FACTURA!F:F,"NO APLICA")</f>
        <v>NO APLICA</v>
      </c>
    </row>
    <row r="114" spans="8:14" x14ac:dyDescent="0.25">
      <c r="H114" s="19" t="str">
        <f>_xlfn.XLOOKUP(A114,FACTURA!A:A,FACTURA!E:E,"NO PLANIFICADO")</f>
        <v>NO PLANIFICADO</v>
      </c>
      <c r="I114" s="19" t="str">
        <f t="shared" si="1"/>
        <v>NO</v>
      </c>
      <c r="K114" s="23" t="s">
        <v>94</v>
      </c>
      <c r="N114" s="20" t="str">
        <f>_xlfn.XLOOKUP(A114,FACTURA!A:A,FACTURA!F:F,"NO APLICA")</f>
        <v>NO APLICA</v>
      </c>
    </row>
    <row r="115" spans="8:14" x14ac:dyDescent="0.25">
      <c r="H115" s="19" t="str">
        <f>_xlfn.XLOOKUP(A115,FACTURA!A:A,FACTURA!E:E,"NO PLANIFICADO")</f>
        <v>NO PLANIFICADO</v>
      </c>
      <c r="I115" s="19" t="str">
        <f t="shared" si="1"/>
        <v>NO</v>
      </c>
      <c r="K115" s="23" t="s">
        <v>94</v>
      </c>
      <c r="N115" s="20" t="str">
        <f>_xlfn.XLOOKUP(A115,FACTURA!A:A,FACTURA!F:F,"NO APLICA")</f>
        <v>NO APLICA</v>
      </c>
    </row>
    <row r="116" spans="8:14" x14ac:dyDescent="0.25">
      <c r="H116" s="19" t="str">
        <f>_xlfn.XLOOKUP(A116,FACTURA!A:A,FACTURA!E:E,"NO PLANIFICADO")</f>
        <v>NO PLANIFICADO</v>
      </c>
      <c r="I116" s="19" t="str">
        <f t="shared" si="1"/>
        <v>NO</v>
      </c>
      <c r="K116" s="23" t="s">
        <v>94</v>
      </c>
      <c r="N116" s="20" t="str">
        <f>_xlfn.XLOOKUP(A116,FACTURA!A:A,FACTURA!F:F,"NO APLICA")</f>
        <v>NO APLICA</v>
      </c>
    </row>
    <row r="117" spans="8:14" x14ac:dyDescent="0.25">
      <c r="H117" s="19" t="str">
        <f>_xlfn.XLOOKUP(A117,FACTURA!A:A,FACTURA!E:E,"NO PLANIFICADO")</f>
        <v>NO PLANIFICADO</v>
      </c>
      <c r="I117" s="19" t="str">
        <f t="shared" si="1"/>
        <v>NO</v>
      </c>
      <c r="K117" s="23" t="s">
        <v>94</v>
      </c>
      <c r="N117" s="20">
        <f ca="1">_xlfn.XLOOKUP(A117,FACTURA!A:A,FACTURA!F:F,"NO APLICA")</f>
        <v>46102</v>
      </c>
    </row>
    <row r="118" spans="8:14" x14ac:dyDescent="0.25">
      <c r="H118" s="19" t="str">
        <f>_xlfn.XLOOKUP(A118,FACTURA!A:A,FACTURA!E:E,"NO PLANIFICADO")</f>
        <v>NO PLANIFICADO</v>
      </c>
      <c r="I118" s="19" t="str">
        <f t="shared" si="1"/>
        <v>NO</v>
      </c>
      <c r="K118" s="23" t="s">
        <v>94</v>
      </c>
      <c r="N118" s="20" t="str">
        <f>_xlfn.XLOOKUP(A118,FACTURA!A:A,FACTURA!F:F,"NO APLICA")</f>
        <v>NO APLICA</v>
      </c>
    </row>
    <row r="119" spans="8:14" x14ac:dyDescent="0.25">
      <c r="H119" s="19" t="str">
        <f>_xlfn.XLOOKUP(A119,FACTURA!A:A,FACTURA!E:E,"NO PLANIFICADO")</f>
        <v>NO PLANIFICADO</v>
      </c>
      <c r="I119" s="19" t="str">
        <f t="shared" si="1"/>
        <v>NO</v>
      </c>
      <c r="K119" s="23" t="s">
        <v>94</v>
      </c>
      <c r="N119" s="20" t="str">
        <f>_xlfn.XLOOKUP(A119,FACTURA!A:A,FACTURA!F:F,"NO APLICA")</f>
        <v>NO APLICA</v>
      </c>
    </row>
    <row r="120" spans="8:14" x14ac:dyDescent="0.25">
      <c r="H120" s="19" t="str">
        <f>_xlfn.XLOOKUP(A120,FACTURA!A:A,FACTURA!E:E,"NO PLANIFICADO")</f>
        <v>NO PLANIFICADO</v>
      </c>
      <c r="I120" s="19" t="str">
        <f t="shared" si="1"/>
        <v>NO</v>
      </c>
      <c r="K120" s="23" t="s">
        <v>94</v>
      </c>
      <c r="N120" s="20" t="str">
        <f>_xlfn.XLOOKUP(A120,FACTURA!A:A,FACTURA!F:F,"NO APLICA")</f>
        <v>NO APLICA</v>
      </c>
    </row>
    <row r="121" spans="8:14" x14ac:dyDescent="0.25">
      <c r="H121" s="19" t="str">
        <f ca="1">_xlfn.XLOOKUP(A121,FACTURA!A:A,FACTURA!E:E,"NO PLANIFICADO")</f>
        <v>PLANIFICADA</v>
      </c>
      <c r="I121" s="19" t="str">
        <f t="shared" si="1"/>
        <v>NO</v>
      </c>
      <c r="K121" s="23" t="s">
        <v>94</v>
      </c>
      <c r="N121" s="20" t="str">
        <f>_xlfn.XLOOKUP(A121,FACTURA!A:A,FACTURA!F:F,"NO APLICA")</f>
        <v>NO APLICA</v>
      </c>
    </row>
    <row r="122" spans="8:14" x14ac:dyDescent="0.25">
      <c r="H122" s="19" t="str">
        <f ca="1">_xlfn.XLOOKUP(A122,FACTURA!A:A,FACTURA!E:E,"NO PLANIFICADO")</f>
        <v>PLANIFICADA</v>
      </c>
      <c r="I122" s="19" t="str">
        <f t="shared" si="1"/>
        <v>NO</v>
      </c>
      <c r="K122" s="23" t="s">
        <v>94</v>
      </c>
      <c r="N122" s="20" t="str">
        <f>_xlfn.XLOOKUP(A122,FACTURA!A:A,FACTURA!F:F,"NO APLICA")</f>
        <v>NO APLICA</v>
      </c>
    </row>
    <row r="123" spans="8:14" x14ac:dyDescent="0.25">
      <c r="H123" s="19" t="str">
        <f>_xlfn.XLOOKUP(A123,FACTURA!A:A,FACTURA!E:E,"NO PLANIFICADO")</f>
        <v>NO PLANIFICADO</v>
      </c>
      <c r="I123" s="19" t="str">
        <f t="shared" si="1"/>
        <v>NO</v>
      </c>
      <c r="K123" s="23" t="s">
        <v>94</v>
      </c>
      <c r="N123" s="20" t="str">
        <f>_xlfn.XLOOKUP(A123,FACTURA!A:A,FACTURA!F:F,"NO APLICA")</f>
        <v>NO APLICA</v>
      </c>
    </row>
    <row r="124" spans="8:14" x14ac:dyDescent="0.25">
      <c r="H124" s="19" t="str">
        <f>_xlfn.XLOOKUP(A124,FACTURA!A:A,FACTURA!E:E,"NO PLANIFICADO")</f>
        <v>NO PLANIFICADO</v>
      </c>
      <c r="I124" s="19" t="str">
        <f t="shared" si="1"/>
        <v>NO</v>
      </c>
      <c r="K124" s="23" t="s">
        <v>94</v>
      </c>
      <c r="N124" s="20" t="str">
        <f>_xlfn.XLOOKUP(A124,FACTURA!A:A,FACTURA!F:F,"NO APLICA")</f>
        <v>NO APLICA</v>
      </c>
    </row>
    <row r="125" spans="8:14" x14ac:dyDescent="0.25">
      <c r="H125" s="19" t="str">
        <f>_xlfn.XLOOKUP(A125,FACTURA!A:A,FACTURA!E:E,"NO PLANIFICADO")</f>
        <v>NO PLANIFICADO</v>
      </c>
      <c r="I125" s="19" t="str">
        <f t="shared" si="1"/>
        <v>NO</v>
      </c>
      <c r="K125" s="23" t="s">
        <v>94</v>
      </c>
      <c r="N125" s="20" t="str">
        <f>_xlfn.XLOOKUP(A125,FACTURA!A:A,FACTURA!F:F,"NO APLICA")</f>
        <v>NO APLICA</v>
      </c>
    </row>
    <row r="126" spans="8:14" x14ac:dyDescent="0.25">
      <c r="H126" s="19" t="str">
        <f>_xlfn.XLOOKUP(A126,FACTURA!A:A,FACTURA!E:E,"NO PLANIFICADO")</f>
        <v>NO PLANIFICADO</v>
      </c>
      <c r="I126" s="19" t="str">
        <f t="shared" si="1"/>
        <v>NO</v>
      </c>
      <c r="K126" s="23" t="s">
        <v>94</v>
      </c>
      <c r="N126" s="20" t="str">
        <f>_xlfn.XLOOKUP(A126,FACTURA!A:A,FACTURA!F:F,"NO APLICA")</f>
        <v>NO APLICA</v>
      </c>
    </row>
    <row r="127" spans="8:14" x14ac:dyDescent="0.25">
      <c r="H127" s="19" t="str">
        <f>_xlfn.XLOOKUP(A127,FACTURA!A:A,FACTURA!E:E,"NO PLANIFICADO")</f>
        <v>NO PLANIFICADO</v>
      </c>
      <c r="I127" s="19" t="str">
        <f t="shared" si="1"/>
        <v>NO</v>
      </c>
      <c r="K127" s="23" t="s">
        <v>94</v>
      </c>
      <c r="N127" s="20" t="str">
        <f>_xlfn.XLOOKUP(A127,FACTURA!A:A,FACTURA!F:F,"NO APLICA")</f>
        <v>NO APLICA</v>
      </c>
    </row>
    <row r="128" spans="8:14" x14ac:dyDescent="0.25">
      <c r="H128" s="19" t="str">
        <f>_xlfn.XLOOKUP(A128,FACTURA!A:A,FACTURA!E:E,"NO PLANIFICADO")</f>
        <v>NO PLANIFICADO</v>
      </c>
      <c r="I128" s="19" t="str">
        <f t="shared" si="1"/>
        <v>NO</v>
      </c>
      <c r="K128" s="23" t="s">
        <v>94</v>
      </c>
      <c r="N128" s="20" t="str">
        <f>_xlfn.XLOOKUP(A128,FACTURA!A:A,FACTURA!F:F,"NO APLICA")</f>
        <v>NO APLICA</v>
      </c>
    </row>
    <row r="129" spans="8:14" x14ac:dyDescent="0.25">
      <c r="H129" s="19" t="str">
        <f ca="1">_xlfn.XLOOKUP(A129,FACTURA!A:A,FACTURA!E:E,"NO PLANIFICADO")</f>
        <v>PLANIFICADA</v>
      </c>
      <c r="I129" s="19" t="str">
        <f t="shared" si="1"/>
        <v>NO</v>
      </c>
      <c r="K129" s="23" t="s">
        <v>94</v>
      </c>
      <c r="N129" s="20" t="str">
        <f>_xlfn.XLOOKUP(A129,FACTURA!A:A,FACTURA!F:F,"NO APLICA")</f>
        <v>NO APLICA</v>
      </c>
    </row>
    <row r="130" spans="8:14" x14ac:dyDescent="0.25">
      <c r="H130" s="19" t="str">
        <f>_xlfn.XLOOKUP(A130,FACTURA!A:A,FACTURA!E:E,"NO PLANIFICADO")</f>
        <v>NO PLANIFICADO</v>
      </c>
      <c r="I130" s="19" t="str">
        <f t="shared" ref="I130:I193" si="2">IF(OR(E130="V.TECNICA",E130="PROYECTO",E130="IMPLEMENTACION"),"SI","NO")</f>
        <v>NO</v>
      </c>
      <c r="K130" s="23" t="s">
        <v>94</v>
      </c>
      <c r="N130" s="20" t="str">
        <f>_xlfn.XLOOKUP(A130,FACTURA!A:A,FACTURA!F:F,"NO APLICA")</f>
        <v>NO APLICA</v>
      </c>
    </row>
    <row r="131" spans="8:14" x14ac:dyDescent="0.25">
      <c r="H131" s="19" t="str">
        <f>_xlfn.XLOOKUP(A131,FACTURA!A:A,FACTURA!E:E,"NO PLANIFICADO")</f>
        <v>NO PLANIFICADO</v>
      </c>
      <c r="I131" s="19" t="str">
        <f t="shared" si="2"/>
        <v>NO</v>
      </c>
      <c r="K131" s="23" t="s">
        <v>94</v>
      </c>
      <c r="N131" s="20" t="str">
        <f>_xlfn.XLOOKUP(A131,FACTURA!A:A,FACTURA!F:F,"NO APLICA")</f>
        <v>NO APLICA</v>
      </c>
    </row>
    <row r="132" spans="8:14" x14ac:dyDescent="0.25">
      <c r="H132" s="19" t="str">
        <f>_xlfn.XLOOKUP(A132,FACTURA!A:A,FACTURA!E:E,"NO PLANIFICADO")</f>
        <v>NO PLANIFICADO</v>
      </c>
      <c r="I132" s="19" t="str">
        <f t="shared" si="2"/>
        <v>NO</v>
      </c>
      <c r="K132" s="23" t="s">
        <v>94</v>
      </c>
      <c r="N132" s="20" t="str">
        <f>_xlfn.XLOOKUP(A132,FACTURA!A:A,FACTURA!F:F,"NO APLICA")</f>
        <v>NO APLICA</v>
      </c>
    </row>
    <row r="133" spans="8:14" x14ac:dyDescent="0.25">
      <c r="H133" s="19" t="str">
        <f>_xlfn.XLOOKUP(A133,FACTURA!A:A,FACTURA!E:E,"NO PLANIFICADO")</f>
        <v>NO PLANIFICADO</v>
      </c>
      <c r="I133" s="19" t="str">
        <f t="shared" si="2"/>
        <v>NO</v>
      </c>
      <c r="K133" s="23" t="s">
        <v>94</v>
      </c>
      <c r="N133" s="20" t="str">
        <f>_xlfn.XLOOKUP(A133,FACTURA!A:A,FACTURA!F:F,"NO APLICA")</f>
        <v>NO APLICA</v>
      </c>
    </row>
    <row r="134" spans="8:14" x14ac:dyDescent="0.25">
      <c r="H134" s="19" t="str">
        <f>_xlfn.XLOOKUP(A134,FACTURA!A:A,FACTURA!E:E,"NO PLANIFICADO")</f>
        <v>NO PLANIFICADO</v>
      </c>
      <c r="I134" s="19" t="str">
        <f t="shared" si="2"/>
        <v>NO</v>
      </c>
      <c r="K134" s="23" t="s">
        <v>94</v>
      </c>
      <c r="N134" s="20" t="str">
        <f>_xlfn.XLOOKUP(A134,FACTURA!A:A,FACTURA!F:F,"NO APLICA")</f>
        <v>NO APLICA</v>
      </c>
    </row>
    <row r="135" spans="8:14" x14ac:dyDescent="0.25">
      <c r="H135" s="19" t="str">
        <f>_xlfn.XLOOKUP(A135,FACTURA!A:A,FACTURA!E:E,"NO PLANIFICADO")</f>
        <v>NO PLANIFICADO</v>
      </c>
      <c r="I135" s="19" t="str">
        <f t="shared" si="2"/>
        <v>NO</v>
      </c>
      <c r="K135" s="23" t="s">
        <v>94</v>
      </c>
      <c r="N135" s="20" t="str">
        <f>_xlfn.XLOOKUP(A135,FACTURA!A:A,FACTURA!F:F,"NO APLICA")</f>
        <v>NO APLICA</v>
      </c>
    </row>
    <row r="136" spans="8:14" x14ac:dyDescent="0.25">
      <c r="H136" s="19" t="str">
        <f>_xlfn.XLOOKUP(A136,FACTURA!A:A,FACTURA!E:E,"NO PLANIFICADO")</f>
        <v>NO PLANIFICADO</v>
      </c>
      <c r="I136" s="19" t="str">
        <f t="shared" si="2"/>
        <v>NO</v>
      </c>
      <c r="K136" s="23" t="s">
        <v>94</v>
      </c>
      <c r="N136" s="20" t="str">
        <f>_xlfn.XLOOKUP(A136,FACTURA!A:A,FACTURA!F:F,"NO APLICA")</f>
        <v>NO APLICA</v>
      </c>
    </row>
    <row r="137" spans="8:14" x14ac:dyDescent="0.25">
      <c r="H137" s="19" t="str">
        <f>_xlfn.XLOOKUP(A137,FACTURA!A:A,FACTURA!E:E,"NO PLANIFICADO")</f>
        <v>NO PLANIFICADO</v>
      </c>
      <c r="I137" s="19" t="str">
        <f t="shared" si="2"/>
        <v>NO</v>
      </c>
      <c r="K137" s="23" t="s">
        <v>94</v>
      </c>
      <c r="N137" s="20" t="str">
        <f>_xlfn.XLOOKUP(A137,FACTURA!A:A,FACTURA!F:F,"NO APLICA")</f>
        <v>NO APLICA</v>
      </c>
    </row>
    <row r="138" spans="8:14" x14ac:dyDescent="0.25">
      <c r="H138" s="19" t="str">
        <f>_xlfn.XLOOKUP(A138,FACTURA!A:A,FACTURA!E:E,"NO PLANIFICADO")</f>
        <v>NO PLANIFICADO</v>
      </c>
      <c r="I138" s="19" t="str">
        <f t="shared" si="2"/>
        <v>NO</v>
      </c>
      <c r="K138" s="23" t="s">
        <v>94</v>
      </c>
      <c r="N138" s="20" t="str">
        <f>_xlfn.XLOOKUP(A138,FACTURA!A:A,FACTURA!F:F,"NO APLICA")</f>
        <v>NO APLICA</v>
      </c>
    </row>
    <row r="139" spans="8:14" x14ac:dyDescent="0.25">
      <c r="H139" s="19" t="str">
        <f>_xlfn.XLOOKUP(A139,FACTURA!A:A,FACTURA!E:E,"NO PLANIFICADO")</f>
        <v>NO PLANIFICADO</v>
      </c>
      <c r="I139" s="19" t="str">
        <f t="shared" si="2"/>
        <v>NO</v>
      </c>
      <c r="K139" s="23" t="s">
        <v>94</v>
      </c>
      <c r="N139" s="20" t="str">
        <f>_xlfn.XLOOKUP(A139,FACTURA!A:A,FACTURA!F:F,"NO APLICA")</f>
        <v>NO APLICA</v>
      </c>
    </row>
    <row r="140" spans="8:14" x14ac:dyDescent="0.25">
      <c r="H140" s="19" t="str">
        <f>_xlfn.XLOOKUP(A140,FACTURA!A:A,FACTURA!E:E,"NO PLANIFICADO")</f>
        <v>NO PLANIFICADO</v>
      </c>
      <c r="I140" s="19" t="str">
        <f t="shared" si="2"/>
        <v>NO</v>
      </c>
      <c r="K140" s="23" t="s">
        <v>94</v>
      </c>
      <c r="N140" s="20" t="str">
        <f>_xlfn.XLOOKUP(A140,FACTURA!A:A,FACTURA!F:F,"NO APLICA")</f>
        <v>NO APLICA</v>
      </c>
    </row>
    <row r="141" spans="8:14" x14ac:dyDescent="0.25">
      <c r="H141" s="19" t="str">
        <f>_xlfn.XLOOKUP(A141,FACTURA!A:A,FACTURA!E:E,"NO PLANIFICADO")</f>
        <v>NO PLANIFICADO</v>
      </c>
      <c r="I141" s="19" t="str">
        <f t="shared" si="2"/>
        <v>NO</v>
      </c>
      <c r="K141" s="23" t="s">
        <v>94</v>
      </c>
      <c r="N141" s="20">
        <f ca="1">_xlfn.XLOOKUP(A141,FACTURA!A:A,FACTURA!F:F,"NO APLICA")</f>
        <v>46102</v>
      </c>
    </row>
    <row r="142" spans="8:14" x14ac:dyDescent="0.25">
      <c r="H142" s="19" t="str">
        <f>_xlfn.XLOOKUP(A142,FACTURA!A:A,FACTURA!E:E,"NO PLANIFICADO")</f>
        <v>NO PLANIFICADO</v>
      </c>
      <c r="I142" s="19" t="str">
        <f t="shared" si="2"/>
        <v>NO</v>
      </c>
      <c r="K142" s="23" t="s">
        <v>94</v>
      </c>
      <c r="N142" s="20">
        <f ca="1">_xlfn.XLOOKUP(A142,FACTURA!A:A,FACTURA!F:F,"NO APLICA")</f>
        <v>46102</v>
      </c>
    </row>
    <row r="143" spans="8:14" x14ac:dyDescent="0.25">
      <c r="H143" s="19" t="str">
        <f>_xlfn.XLOOKUP(A143,FACTURA!A:A,FACTURA!E:E,"NO PLANIFICADO")</f>
        <v>NO PLANIFICADO</v>
      </c>
      <c r="I143" s="19" t="str">
        <f t="shared" si="2"/>
        <v>NO</v>
      </c>
      <c r="K143" s="23" t="s">
        <v>94</v>
      </c>
      <c r="N143" s="20">
        <f ca="1">_xlfn.XLOOKUP(A143,FACTURA!A:A,FACTURA!F:F,"NO APLICA")</f>
        <v>46102</v>
      </c>
    </row>
    <row r="144" spans="8:14" x14ac:dyDescent="0.25">
      <c r="H144" s="19" t="str">
        <f>_xlfn.XLOOKUP(A144,FACTURA!A:A,FACTURA!E:E,"NO PLANIFICADO")</f>
        <v>NO PLANIFICADO</v>
      </c>
      <c r="I144" s="19" t="str">
        <f t="shared" si="2"/>
        <v>NO</v>
      </c>
      <c r="K144" s="23" t="s">
        <v>94</v>
      </c>
      <c r="N144" s="20" t="str">
        <f>_xlfn.XLOOKUP(A144,FACTURA!A:A,FACTURA!F:F,"NO APLICA")</f>
        <v>NO APLICA</v>
      </c>
    </row>
    <row r="145" spans="8:14" x14ac:dyDescent="0.25">
      <c r="H145" s="19" t="str">
        <f ca="1">_xlfn.XLOOKUP(A145,FACTURA!A:A,FACTURA!E:E,"NO PLANIFICADO")</f>
        <v>PLANIFICADA</v>
      </c>
      <c r="I145" s="19" t="str">
        <f t="shared" si="2"/>
        <v>NO</v>
      </c>
      <c r="K145" s="23" t="s">
        <v>94</v>
      </c>
      <c r="N145" s="20" t="str">
        <f>_xlfn.XLOOKUP(A145,FACTURA!A:A,FACTURA!F:F,"NO APLICA")</f>
        <v>NO APLICA</v>
      </c>
    </row>
    <row r="146" spans="8:14" x14ac:dyDescent="0.25">
      <c r="H146" s="19" t="str">
        <f>_xlfn.XLOOKUP(A146,FACTURA!A:A,FACTURA!E:E,"NO PLANIFICADO")</f>
        <v>NO PLANIFICADO</v>
      </c>
      <c r="I146" s="19" t="str">
        <f t="shared" si="2"/>
        <v>NO</v>
      </c>
      <c r="K146" s="23" t="s">
        <v>94</v>
      </c>
      <c r="N146" s="20" t="str">
        <f>_xlfn.XLOOKUP(A146,FACTURA!A:A,FACTURA!F:F,"NO APLICA")</f>
        <v>NO APLICA</v>
      </c>
    </row>
    <row r="147" spans="8:14" x14ac:dyDescent="0.25">
      <c r="H147" s="19" t="str">
        <f>_xlfn.XLOOKUP(A147,FACTURA!A:A,FACTURA!E:E,"NO PLANIFICADO")</f>
        <v>NO PLANIFICADO</v>
      </c>
      <c r="I147" s="19" t="str">
        <f t="shared" si="2"/>
        <v>NO</v>
      </c>
      <c r="K147" s="23" t="s">
        <v>94</v>
      </c>
      <c r="N147" s="20" t="str">
        <f>_xlfn.XLOOKUP(A147,FACTURA!A:A,FACTURA!F:F,"NO APLICA")</f>
        <v>NO APLICA</v>
      </c>
    </row>
    <row r="148" spans="8:14" x14ac:dyDescent="0.25">
      <c r="H148" s="19" t="str">
        <f>_xlfn.XLOOKUP(A148,FACTURA!A:A,FACTURA!E:E,"NO PLANIFICADO")</f>
        <v>NO PLANIFICADO</v>
      </c>
      <c r="I148" s="19" t="str">
        <f t="shared" si="2"/>
        <v>NO</v>
      </c>
      <c r="K148" s="23" t="s">
        <v>94</v>
      </c>
      <c r="N148" s="20" t="str">
        <f>_xlfn.XLOOKUP(A148,FACTURA!A:A,FACTURA!F:F,"NO APLICA")</f>
        <v>NO APLICA</v>
      </c>
    </row>
    <row r="149" spans="8:14" x14ac:dyDescent="0.25">
      <c r="H149" s="19" t="str">
        <f>_xlfn.XLOOKUP(A149,FACTURA!A:A,FACTURA!E:E,"NO PLANIFICADO")</f>
        <v>NO PLANIFICADO</v>
      </c>
      <c r="I149" s="19" t="str">
        <f t="shared" si="2"/>
        <v>NO</v>
      </c>
      <c r="K149" s="23" t="s">
        <v>94</v>
      </c>
      <c r="N149" s="20" t="str">
        <f>_xlfn.XLOOKUP(A149,FACTURA!A:A,FACTURA!F:F,"NO APLICA")</f>
        <v>NO APLICA</v>
      </c>
    </row>
    <row r="150" spans="8:14" x14ac:dyDescent="0.25">
      <c r="H150" s="19" t="str">
        <f ca="1">_xlfn.XLOOKUP(A150,FACTURA!A:A,FACTURA!E:E,"NO PLANIFICADO")</f>
        <v>PLANIFICADA</v>
      </c>
      <c r="I150" s="19" t="str">
        <f t="shared" si="2"/>
        <v>NO</v>
      </c>
      <c r="K150" s="23" t="s">
        <v>94</v>
      </c>
      <c r="N150" s="20" t="str">
        <f>_xlfn.XLOOKUP(A150,FACTURA!A:A,FACTURA!F:F,"NO APLICA")</f>
        <v>NO APLICA</v>
      </c>
    </row>
    <row r="151" spans="8:14" x14ac:dyDescent="0.25">
      <c r="H151" s="19" t="str">
        <f>_xlfn.XLOOKUP(A151,FACTURA!A:A,FACTURA!E:E,"NO PLANIFICADO")</f>
        <v>NO PLANIFICADO</v>
      </c>
      <c r="I151" s="19" t="str">
        <f t="shared" si="2"/>
        <v>NO</v>
      </c>
      <c r="K151" s="23" t="s">
        <v>94</v>
      </c>
      <c r="N151" s="20" t="str">
        <f>_xlfn.XLOOKUP(A151,FACTURA!A:A,FACTURA!F:F,"NO APLICA")</f>
        <v>NO APLICA</v>
      </c>
    </row>
    <row r="152" spans="8:14" x14ac:dyDescent="0.25">
      <c r="H152" s="19" t="str">
        <f>_xlfn.XLOOKUP(A152,FACTURA!A:A,FACTURA!E:E,"NO PLANIFICADO")</f>
        <v>NO PLANIFICADO</v>
      </c>
      <c r="I152" s="19" t="str">
        <f t="shared" si="2"/>
        <v>NO</v>
      </c>
      <c r="K152" s="23" t="s">
        <v>94</v>
      </c>
      <c r="N152" s="20" t="str">
        <f>_xlfn.XLOOKUP(A152,FACTURA!A:A,FACTURA!F:F,"NO APLICA")</f>
        <v>NO APLICA</v>
      </c>
    </row>
    <row r="153" spans="8:14" x14ac:dyDescent="0.25">
      <c r="H153" s="19" t="str">
        <f>_xlfn.XLOOKUP(A153,FACTURA!A:A,FACTURA!E:E,"NO PLANIFICADO")</f>
        <v>NO PLANIFICADO</v>
      </c>
      <c r="I153" s="19" t="str">
        <f t="shared" si="2"/>
        <v>NO</v>
      </c>
      <c r="K153" s="23" t="s">
        <v>94</v>
      </c>
      <c r="N153" s="20">
        <f ca="1">_xlfn.XLOOKUP(A153,FACTURA!A:A,FACTURA!F:F,"NO APLICA")</f>
        <v>46102</v>
      </c>
    </row>
    <row r="154" spans="8:14" x14ac:dyDescent="0.25">
      <c r="H154" s="19" t="str">
        <f>_xlfn.XLOOKUP(A154,FACTURA!A:A,FACTURA!E:E,"NO PLANIFICADO")</f>
        <v>NO PLANIFICADO</v>
      </c>
      <c r="I154" s="19" t="str">
        <f t="shared" si="2"/>
        <v>NO</v>
      </c>
      <c r="K154" s="23" t="s">
        <v>94</v>
      </c>
      <c r="N154" s="20">
        <f ca="1">_xlfn.XLOOKUP(A154,FACTURA!A:A,FACTURA!F:F,"NO APLICA")</f>
        <v>46102</v>
      </c>
    </row>
    <row r="155" spans="8:14" x14ac:dyDescent="0.25">
      <c r="H155" s="19" t="str">
        <f>_xlfn.XLOOKUP(A155,FACTURA!A:A,FACTURA!E:E,"NO PLANIFICADO")</f>
        <v>NO PLANIFICADO</v>
      </c>
      <c r="I155" s="19" t="str">
        <f t="shared" si="2"/>
        <v>NO</v>
      </c>
      <c r="K155" s="23" t="s">
        <v>94</v>
      </c>
      <c r="N155" s="20" t="str">
        <f>_xlfn.XLOOKUP(A155,FACTURA!A:A,FACTURA!F:F,"NO APLICA")</f>
        <v>NO APLICA</v>
      </c>
    </row>
    <row r="156" spans="8:14" x14ac:dyDescent="0.25">
      <c r="H156" s="19" t="str">
        <f>_xlfn.XLOOKUP(A156,FACTURA!A:A,FACTURA!E:E,"NO PLANIFICADO")</f>
        <v>NO PLANIFICADO</v>
      </c>
      <c r="I156" s="19" t="str">
        <f t="shared" si="2"/>
        <v>NO</v>
      </c>
      <c r="K156" s="23" t="s">
        <v>94</v>
      </c>
      <c r="N156" s="20" t="str">
        <f>_xlfn.XLOOKUP(A156,FACTURA!A:A,FACTURA!F:F,"NO APLICA")</f>
        <v>NO APLICA</v>
      </c>
    </row>
    <row r="157" spans="8:14" x14ac:dyDescent="0.25">
      <c r="H157" s="19" t="str">
        <f ca="1">_xlfn.XLOOKUP(A157,FACTURA!A:A,FACTURA!E:E,"NO PLANIFICADO")</f>
        <v>PLANIFICADA</v>
      </c>
      <c r="I157" s="19" t="str">
        <f t="shared" si="2"/>
        <v>NO</v>
      </c>
      <c r="K157" s="23" t="s">
        <v>94</v>
      </c>
      <c r="N157" s="20" t="str">
        <f>_xlfn.XLOOKUP(A157,FACTURA!A:A,FACTURA!F:F,"NO APLICA")</f>
        <v>NO APLICA</v>
      </c>
    </row>
    <row r="158" spans="8:14" x14ac:dyDescent="0.25">
      <c r="H158" s="19" t="str">
        <f>_xlfn.XLOOKUP(A158,FACTURA!A:A,FACTURA!E:E,"NO PLANIFICADO")</f>
        <v>NO PLANIFICADO</v>
      </c>
      <c r="I158" s="19" t="str">
        <f t="shared" si="2"/>
        <v>NO</v>
      </c>
      <c r="K158" s="23" t="s">
        <v>94</v>
      </c>
      <c r="N158" s="20" t="str">
        <f>_xlfn.XLOOKUP(A158,FACTURA!A:A,FACTURA!F:F,"NO APLICA")</f>
        <v>NO APLICA</v>
      </c>
    </row>
    <row r="159" spans="8:14" x14ac:dyDescent="0.25">
      <c r="H159" s="19" t="str">
        <f>_xlfn.XLOOKUP(A159,FACTURA!A:A,FACTURA!E:E,"NO PLANIFICADO")</f>
        <v>NO PLANIFICADO</v>
      </c>
      <c r="I159" s="19" t="str">
        <f t="shared" si="2"/>
        <v>NO</v>
      </c>
      <c r="K159" s="23" t="s">
        <v>94</v>
      </c>
      <c r="N159" s="20" t="str">
        <f>_xlfn.XLOOKUP(A159,FACTURA!A:A,FACTURA!F:F,"NO APLICA")</f>
        <v>NO APLICA</v>
      </c>
    </row>
    <row r="160" spans="8:14" x14ac:dyDescent="0.25">
      <c r="H160" s="19" t="str">
        <f ca="1">_xlfn.XLOOKUP(A160,FACTURA!A:A,FACTURA!E:E,"NO PLANIFICADO")</f>
        <v>PLANIFICADA</v>
      </c>
      <c r="I160" s="19" t="str">
        <f t="shared" si="2"/>
        <v>NO</v>
      </c>
      <c r="K160" s="23" t="s">
        <v>94</v>
      </c>
      <c r="N160" s="20" t="str">
        <f>_xlfn.XLOOKUP(A160,FACTURA!A:A,FACTURA!F:F,"NO APLICA")</f>
        <v>NO APLICA</v>
      </c>
    </row>
    <row r="161" spans="8:14" x14ac:dyDescent="0.25">
      <c r="H161" s="19" t="str">
        <f>_xlfn.XLOOKUP(A161,FACTURA!A:A,FACTURA!E:E,"NO PLANIFICADO")</f>
        <v>NO PLANIFICADO</v>
      </c>
      <c r="I161" s="19" t="str">
        <f t="shared" si="2"/>
        <v>NO</v>
      </c>
      <c r="K161" s="23" t="s">
        <v>94</v>
      </c>
      <c r="N161" s="20" t="str">
        <f>_xlfn.XLOOKUP(A161,FACTURA!A:A,FACTURA!F:F,"NO APLICA")</f>
        <v>NO APLICA</v>
      </c>
    </row>
    <row r="162" spans="8:14" x14ac:dyDescent="0.25">
      <c r="H162" s="19" t="str">
        <f>_xlfn.XLOOKUP(A162,FACTURA!A:A,FACTURA!E:E,"NO PLANIFICADO")</f>
        <v>NO PLANIFICADO</v>
      </c>
      <c r="I162" s="19" t="str">
        <f t="shared" si="2"/>
        <v>NO</v>
      </c>
      <c r="K162" s="23" t="s">
        <v>94</v>
      </c>
      <c r="N162" s="20" t="str">
        <f>_xlfn.XLOOKUP(A162,FACTURA!A:A,FACTURA!F:F,"NO APLICA")</f>
        <v>NO APLICA</v>
      </c>
    </row>
    <row r="163" spans="8:14" x14ac:dyDescent="0.25">
      <c r="H163" s="19" t="str">
        <f>_xlfn.XLOOKUP(A163,FACTURA!A:A,FACTURA!E:E,"NO PLANIFICADO")</f>
        <v>NO PLANIFICADO</v>
      </c>
      <c r="I163" s="19" t="str">
        <f t="shared" si="2"/>
        <v>NO</v>
      </c>
      <c r="K163" s="23" t="s">
        <v>94</v>
      </c>
      <c r="N163" s="20" t="str">
        <f>_xlfn.XLOOKUP(A163,FACTURA!A:A,FACTURA!F:F,"NO APLICA")</f>
        <v>NO APLICA</v>
      </c>
    </row>
    <row r="164" spans="8:14" x14ac:dyDescent="0.25">
      <c r="H164" s="19" t="str">
        <f>_xlfn.XLOOKUP(A164,FACTURA!A:A,FACTURA!E:E,"NO PLANIFICADO")</f>
        <v>NO PLANIFICADO</v>
      </c>
      <c r="I164" s="19" t="str">
        <f t="shared" si="2"/>
        <v>NO</v>
      </c>
      <c r="K164" s="23" t="s">
        <v>94</v>
      </c>
      <c r="N164" s="20" t="str">
        <f>_xlfn.XLOOKUP(A164,FACTURA!A:A,FACTURA!F:F,"NO APLICA")</f>
        <v>NO APLICA</v>
      </c>
    </row>
    <row r="165" spans="8:14" x14ac:dyDescent="0.25">
      <c r="H165" s="19" t="str">
        <f>_xlfn.XLOOKUP(A165,FACTURA!A:A,FACTURA!E:E,"NO PLANIFICADO")</f>
        <v>NO PLANIFICADO</v>
      </c>
      <c r="I165" s="19" t="str">
        <f t="shared" si="2"/>
        <v>NO</v>
      </c>
      <c r="K165" s="23" t="s">
        <v>94</v>
      </c>
      <c r="N165" s="20" t="str">
        <f>_xlfn.XLOOKUP(A165,FACTURA!A:A,FACTURA!F:F,"NO APLICA")</f>
        <v>NO APLICA</v>
      </c>
    </row>
    <row r="166" spans="8:14" x14ac:dyDescent="0.25">
      <c r="H166" s="19" t="str">
        <f>_xlfn.XLOOKUP(A166,FACTURA!A:A,FACTURA!E:E,"NO PLANIFICADO")</f>
        <v>NO PLANIFICADO</v>
      </c>
      <c r="I166" s="19" t="str">
        <f t="shared" si="2"/>
        <v>NO</v>
      </c>
      <c r="K166" s="23" t="s">
        <v>94</v>
      </c>
      <c r="N166" s="20" t="str">
        <f>_xlfn.XLOOKUP(A166,FACTURA!A:A,FACTURA!F:F,"NO APLICA")</f>
        <v>NO APLICA</v>
      </c>
    </row>
    <row r="167" spans="8:14" x14ac:dyDescent="0.25">
      <c r="H167" s="19" t="str">
        <f>_xlfn.XLOOKUP(A167,FACTURA!A:A,FACTURA!E:E,"NO PLANIFICADO")</f>
        <v>NO PLANIFICADO</v>
      </c>
      <c r="I167" s="19" t="str">
        <f t="shared" si="2"/>
        <v>NO</v>
      </c>
      <c r="K167" s="23" t="s">
        <v>94</v>
      </c>
      <c r="N167" s="20" t="str">
        <f>_xlfn.XLOOKUP(A167,FACTURA!A:A,FACTURA!F:F,"NO APLICA")</f>
        <v>NO APLICA</v>
      </c>
    </row>
    <row r="168" spans="8:14" x14ac:dyDescent="0.25">
      <c r="H168" s="19" t="str">
        <f>_xlfn.XLOOKUP(A168,FACTURA!A:A,FACTURA!E:E,"NO PLANIFICADO")</f>
        <v>NO PLANIFICADO</v>
      </c>
      <c r="I168" s="19" t="str">
        <f t="shared" si="2"/>
        <v>NO</v>
      </c>
      <c r="K168" s="23" t="s">
        <v>94</v>
      </c>
      <c r="N168" s="20" t="str">
        <f>_xlfn.XLOOKUP(A168,FACTURA!A:A,FACTURA!F:F,"NO APLICA")</f>
        <v>NO APLICA</v>
      </c>
    </row>
    <row r="169" spans="8:14" x14ac:dyDescent="0.25">
      <c r="H169" s="19" t="str">
        <f ca="1">_xlfn.XLOOKUP(A169,FACTURA!A:A,FACTURA!E:E,"NO PLANIFICADO")</f>
        <v>PLANIFICADA</v>
      </c>
      <c r="I169" s="19" t="str">
        <f t="shared" si="2"/>
        <v>NO</v>
      </c>
      <c r="K169" s="23" t="s">
        <v>94</v>
      </c>
      <c r="N169" s="20" t="str">
        <f>_xlfn.XLOOKUP(A169,FACTURA!A:A,FACTURA!F:F,"NO APLICA")</f>
        <v>NO APLICA</v>
      </c>
    </row>
    <row r="170" spans="8:14" x14ac:dyDescent="0.25">
      <c r="H170" s="19" t="str">
        <f>_xlfn.XLOOKUP(A170,FACTURA!A:A,FACTURA!E:E,"NO PLANIFICADO")</f>
        <v>NO PLANIFICADO</v>
      </c>
      <c r="I170" s="19" t="str">
        <f t="shared" si="2"/>
        <v>NO</v>
      </c>
      <c r="K170" s="23" t="s">
        <v>94</v>
      </c>
      <c r="N170" s="20" t="str">
        <f>_xlfn.XLOOKUP(A170,FACTURA!A:A,FACTURA!F:F,"NO APLICA")</f>
        <v>NO APLICA</v>
      </c>
    </row>
    <row r="171" spans="8:14" x14ac:dyDescent="0.25">
      <c r="H171" s="19" t="str">
        <f>_xlfn.XLOOKUP(A171,FACTURA!A:A,FACTURA!E:E,"NO PLANIFICADO")</f>
        <v>NO PLANIFICADO</v>
      </c>
      <c r="I171" s="19" t="str">
        <f t="shared" si="2"/>
        <v>NO</v>
      </c>
      <c r="K171" s="23" t="s">
        <v>94</v>
      </c>
      <c r="N171" s="20" t="str">
        <f>_xlfn.XLOOKUP(A171,FACTURA!A:A,FACTURA!F:F,"NO APLICA")</f>
        <v>NO APLICA</v>
      </c>
    </row>
    <row r="172" spans="8:14" x14ac:dyDescent="0.25">
      <c r="H172" s="19" t="str">
        <f>_xlfn.XLOOKUP(A172,FACTURA!A:A,FACTURA!E:E,"NO PLANIFICADO")</f>
        <v>NO PLANIFICADO</v>
      </c>
      <c r="I172" s="19" t="str">
        <f t="shared" si="2"/>
        <v>NO</v>
      </c>
      <c r="K172" s="23" t="s">
        <v>94</v>
      </c>
      <c r="N172" s="20" t="str">
        <f>_xlfn.XLOOKUP(A172,FACTURA!A:A,FACTURA!F:F,"NO APLICA")</f>
        <v>NO APLICA</v>
      </c>
    </row>
    <row r="173" spans="8:14" x14ac:dyDescent="0.25">
      <c r="H173" s="19" t="str">
        <f>_xlfn.XLOOKUP(A173,FACTURA!A:A,FACTURA!E:E,"NO PLANIFICADO")</f>
        <v>NO PLANIFICADO</v>
      </c>
      <c r="I173" s="19" t="str">
        <f t="shared" si="2"/>
        <v>NO</v>
      </c>
      <c r="K173" s="23" t="s">
        <v>94</v>
      </c>
      <c r="N173" s="20" t="str">
        <f>_xlfn.XLOOKUP(A173,FACTURA!A:A,FACTURA!F:F,"NO APLICA")</f>
        <v>NO APLICA</v>
      </c>
    </row>
    <row r="174" spans="8:14" x14ac:dyDescent="0.25">
      <c r="H174" s="19" t="str">
        <f>_xlfn.XLOOKUP(A174,FACTURA!A:A,FACTURA!E:E,"NO PLANIFICADO")</f>
        <v>NO PLANIFICADO</v>
      </c>
      <c r="I174" s="19" t="str">
        <f t="shared" si="2"/>
        <v>NO</v>
      </c>
      <c r="K174" s="23" t="s">
        <v>94</v>
      </c>
      <c r="N174" s="20" t="str">
        <f>_xlfn.XLOOKUP(A174,FACTURA!A:A,FACTURA!F:F,"NO APLICA")</f>
        <v>NO APLICA</v>
      </c>
    </row>
    <row r="175" spans="8:14" x14ac:dyDescent="0.25">
      <c r="H175" s="19" t="str">
        <f>_xlfn.XLOOKUP(A175,FACTURA!A:A,FACTURA!E:E,"NO PLANIFICADO")</f>
        <v>NO PLANIFICADO</v>
      </c>
      <c r="I175" s="19" t="str">
        <f t="shared" si="2"/>
        <v>NO</v>
      </c>
      <c r="K175" s="23" t="s">
        <v>94</v>
      </c>
      <c r="N175" s="20" t="str">
        <f>_xlfn.XLOOKUP(A175,FACTURA!A:A,FACTURA!F:F,"NO APLICA")</f>
        <v>NO APLICA</v>
      </c>
    </row>
    <row r="176" spans="8:14" x14ac:dyDescent="0.25">
      <c r="H176" s="19" t="str">
        <f>_xlfn.XLOOKUP(A176,FACTURA!A:A,FACTURA!E:E,"NO PLANIFICADO")</f>
        <v>NO PLANIFICADO</v>
      </c>
      <c r="I176" s="19" t="str">
        <f t="shared" si="2"/>
        <v>NO</v>
      </c>
      <c r="K176" s="23" t="s">
        <v>94</v>
      </c>
      <c r="N176" s="20" t="str">
        <f>_xlfn.XLOOKUP(A176,FACTURA!A:A,FACTURA!F:F,"NO APLICA")</f>
        <v>NO APLICA</v>
      </c>
    </row>
    <row r="177" spans="8:14" x14ac:dyDescent="0.25">
      <c r="H177" s="19" t="str">
        <f>_xlfn.XLOOKUP(A177,FACTURA!A:A,FACTURA!E:E,"NO PLANIFICADO")</f>
        <v>NO PLANIFICADO</v>
      </c>
      <c r="I177" s="19" t="str">
        <f t="shared" si="2"/>
        <v>NO</v>
      </c>
      <c r="K177" s="23" t="s">
        <v>94</v>
      </c>
      <c r="N177" s="20" t="str">
        <f>_xlfn.XLOOKUP(A177,FACTURA!A:A,FACTURA!F:F,"NO APLICA")</f>
        <v>NO APLICA</v>
      </c>
    </row>
    <row r="178" spans="8:14" x14ac:dyDescent="0.25">
      <c r="H178" s="19" t="str">
        <f>_xlfn.XLOOKUP(A178,FACTURA!A:A,FACTURA!E:E,"NO PLANIFICADO")</f>
        <v>NO PLANIFICADO</v>
      </c>
      <c r="I178" s="19" t="str">
        <f t="shared" si="2"/>
        <v>NO</v>
      </c>
      <c r="K178" s="23" t="s">
        <v>94</v>
      </c>
      <c r="N178" s="20" t="str">
        <f>_xlfn.XLOOKUP(A178,FACTURA!A:A,FACTURA!F:F,"NO APLICA")</f>
        <v>NO APLICA</v>
      </c>
    </row>
    <row r="179" spans="8:14" x14ac:dyDescent="0.25">
      <c r="H179" s="19" t="str">
        <f>_xlfn.XLOOKUP(A179,FACTURA!A:A,FACTURA!E:E,"NO PLANIFICADO")</f>
        <v>NO PLANIFICADO</v>
      </c>
      <c r="I179" s="19" t="str">
        <f t="shared" si="2"/>
        <v>NO</v>
      </c>
      <c r="K179" s="23" t="s">
        <v>94</v>
      </c>
      <c r="N179" s="20" t="str">
        <f>_xlfn.XLOOKUP(A179,FACTURA!A:A,FACTURA!F:F,"NO APLICA")</f>
        <v>NO APLICA</v>
      </c>
    </row>
    <row r="180" spans="8:14" x14ac:dyDescent="0.25">
      <c r="H180" s="19" t="str">
        <f>_xlfn.XLOOKUP(A180,FACTURA!A:A,FACTURA!E:E,"NO PLANIFICADO")</f>
        <v>NO PLANIFICADO</v>
      </c>
      <c r="I180" s="19" t="str">
        <f t="shared" si="2"/>
        <v>NO</v>
      </c>
      <c r="K180" s="23" t="s">
        <v>94</v>
      </c>
      <c r="N180" s="20" t="str">
        <f>_xlfn.XLOOKUP(A180,FACTURA!A:A,FACTURA!F:F,"NO APLICA")</f>
        <v>NO APLICA</v>
      </c>
    </row>
    <row r="181" spans="8:14" x14ac:dyDescent="0.25">
      <c r="H181" s="19" t="str">
        <f>_xlfn.XLOOKUP(A181,FACTURA!A:A,FACTURA!E:E,"NO PLANIFICADO")</f>
        <v>NO PLANIFICADO</v>
      </c>
      <c r="I181" s="19" t="str">
        <f t="shared" si="2"/>
        <v>NO</v>
      </c>
      <c r="K181" s="23" t="s">
        <v>94</v>
      </c>
      <c r="N181" s="20" t="str">
        <f>_xlfn.XLOOKUP(A181,FACTURA!A:A,FACTURA!F:F,"NO APLICA")</f>
        <v>NO APLICA</v>
      </c>
    </row>
    <row r="182" spans="8:14" x14ac:dyDescent="0.25">
      <c r="H182" s="19" t="str">
        <f>_xlfn.XLOOKUP(A182,FACTURA!A:A,FACTURA!E:E,"NO PLANIFICADO")</f>
        <v>NO PLANIFICADO</v>
      </c>
      <c r="I182" s="19" t="str">
        <f t="shared" si="2"/>
        <v>NO</v>
      </c>
      <c r="K182" s="23" t="s">
        <v>94</v>
      </c>
      <c r="N182" s="20" t="str">
        <f>_xlfn.XLOOKUP(A182,FACTURA!A:A,FACTURA!F:F,"NO APLICA")</f>
        <v>NO APLICA</v>
      </c>
    </row>
    <row r="183" spans="8:14" x14ac:dyDescent="0.25">
      <c r="H183" s="19" t="str">
        <f>_xlfn.XLOOKUP(A183,FACTURA!A:A,FACTURA!E:E,"NO PLANIFICADO")</f>
        <v>NO PLANIFICADO</v>
      </c>
      <c r="I183" s="19" t="str">
        <f t="shared" si="2"/>
        <v>NO</v>
      </c>
      <c r="K183" s="23" t="s">
        <v>94</v>
      </c>
      <c r="N183" s="20" t="str">
        <f>_xlfn.XLOOKUP(A183,FACTURA!A:A,FACTURA!F:F,"NO APLICA")</f>
        <v>NO APLICA</v>
      </c>
    </row>
    <row r="184" spans="8:14" x14ac:dyDescent="0.25">
      <c r="H184" s="19" t="str">
        <f>_xlfn.XLOOKUP(A184,FACTURA!A:A,FACTURA!E:E,"NO PLANIFICADO")</f>
        <v>NO PLANIFICADO</v>
      </c>
      <c r="I184" s="19" t="str">
        <f t="shared" si="2"/>
        <v>NO</v>
      </c>
      <c r="K184" s="23" t="s">
        <v>94</v>
      </c>
      <c r="N184" s="20" t="str">
        <f>_xlfn.XLOOKUP(A184,FACTURA!A:A,FACTURA!F:F,"NO APLICA")</f>
        <v>NO APLICA</v>
      </c>
    </row>
    <row r="185" spans="8:14" x14ac:dyDescent="0.25">
      <c r="H185" s="19" t="str">
        <f>_xlfn.XLOOKUP(A185,FACTURA!A:A,FACTURA!E:E,"NO PLANIFICADO")</f>
        <v>NO PLANIFICADO</v>
      </c>
      <c r="I185" s="19" t="str">
        <f t="shared" si="2"/>
        <v>NO</v>
      </c>
      <c r="K185" s="23" t="s">
        <v>94</v>
      </c>
      <c r="N185" s="20" t="str">
        <f>_xlfn.XLOOKUP(A185,FACTURA!A:A,FACTURA!F:F,"NO APLICA")</f>
        <v>NO APLICA</v>
      </c>
    </row>
    <row r="186" spans="8:14" x14ac:dyDescent="0.25">
      <c r="H186" s="19" t="str">
        <f>_xlfn.XLOOKUP(A186,FACTURA!A:A,FACTURA!E:E,"NO PLANIFICADO")</f>
        <v>NO PLANIFICADO</v>
      </c>
      <c r="I186" s="19" t="str">
        <f t="shared" si="2"/>
        <v>NO</v>
      </c>
      <c r="K186" s="23" t="s">
        <v>94</v>
      </c>
      <c r="N186" s="20" t="str">
        <f>_xlfn.XLOOKUP(A186,FACTURA!A:A,FACTURA!F:F,"NO APLICA")</f>
        <v>NO APLICA</v>
      </c>
    </row>
    <row r="187" spans="8:14" x14ac:dyDescent="0.25">
      <c r="H187" s="19" t="str">
        <f>_xlfn.XLOOKUP(A187,FACTURA!A:A,FACTURA!E:E,"NO PLANIFICADO")</f>
        <v>NO PLANIFICADO</v>
      </c>
      <c r="I187" s="19" t="str">
        <f t="shared" si="2"/>
        <v>NO</v>
      </c>
      <c r="K187" s="23" t="s">
        <v>94</v>
      </c>
      <c r="N187" s="20" t="str">
        <f>_xlfn.XLOOKUP(A187,FACTURA!A:A,FACTURA!F:F,"NO APLICA")</f>
        <v>NO APLICA</v>
      </c>
    </row>
    <row r="188" spans="8:14" x14ac:dyDescent="0.25">
      <c r="H188" s="19" t="str">
        <f>_xlfn.XLOOKUP(A188,FACTURA!A:A,FACTURA!E:E,"NO PLANIFICADO")</f>
        <v>NO PLANIFICADO</v>
      </c>
      <c r="I188" s="19" t="str">
        <f t="shared" si="2"/>
        <v>NO</v>
      </c>
      <c r="K188" s="23" t="s">
        <v>94</v>
      </c>
      <c r="N188" s="20" t="str">
        <f>_xlfn.XLOOKUP(A188,FACTURA!A:A,FACTURA!F:F,"NO APLICA")</f>
        <v>NO APLICA</v>
      </c>
    </row>
    <row r="189" spans="8:14" x14ac:dyDescent="0.25">
      <c r="H189" s="19" t="str">
        <f>_xlfn.XLOOKUP(A189,FACTURA!A:A,FACTURA!E:E,"NO PLANIFICADO")</f>
        <v>NO PLANIFICADO</v>
      </c>
      <c r="I189" s="19" t="str">
        <f t="shared" si="2"/>
        <v>NO</v>
      </c>
      <c r="K189" s="23" t="s">
        <v>94</v>
      </c>
      <c r="N189" s="20">
        <f ca="1">_xlfn.XLOOKUP(A189,FACTURA!A:A,FACTURA!F:F,"NO APLICA")</f>
        <v>46102</v>
      </c>
    </row>
    <row r="190" spans="8:14" x14ac:dyDescent="0.25">
      <c r="H190" s="19" t="str">
        <f>_xlfn.XLOOKUP(A190,FACTURA!A:A,FACTURA!E:E,"NO PLANIFICADO")</f>
        <v>NO PLANIFICADO</v>
      </c>
      <c r="I190" s="19" t="str">
        <f t="shared" si="2"/>
        <v>NO</v>
      </c>
      <c r="K190" s="23" t="s">
        <v>94</v>
      </c>
      <c r="N190" s="20">
        <f ca="1">_xlfn.XLOOKUP(A190,FACTURA!A:A,FACTURA!F:F,"NO APLICA")</f>
        <v>46102</v>
      </c>
    </row>
    <row r="191" spans="8:14" x14ac:dyDescent="0.25">
      <c r="H191" s="19" t="str">
        <f>_xlfn.XLOOKUP(A191,FACTURA!A:A,FACTURA!E:E,"NO PLANIFICADO")</f>
        <v>NO PLANIFICADO</v>
      </c>
      <c r="I191" s="19" t="str">
        <f t="shared" si="2"/>
        <v>NO</v>
      </c>
      <c r="K191" s="23" t="s">
        <v>94</v>
      </c>
      <c r="N191" s="20" t="str">
        <f>_xlfn.XLOOKUP(A191,FACTURA!A:A,FACTURA!F:F,"NO APLICA")</f>
        <v>NO APLICA</v>
      </c>
    </row>
    <row r="192" spans="8:14" x14ac:dyDescent="0.25">
      <c r="H192" s="19" t="str">
        <f>_xlfn.XLOOKUP(A192,FACTURA!A:A,FACTURA!E:E,"NO PLANIFICADO")</f>
        <v>NO PLANIFICADO</v>
      </c>
      <c r="I192" s="19" t="str">
        <f t="shared" si="2"/>
        <v>NO</v>
      </c>
      <c r="K192" s="23" t="s">
        <v>94</v>
      </c>
      <c r="N192" s="20" t="str">
        <f>_xlfn.XLOOKUP(A192,FACTURA!A:A,FACTURA!F:F,"NO APLICA")</f>
        <v>NO APLICA</v>
      </c>
    </row>
    <row r="193" spans="8:14" x14ac:dyDescent="0.25">
      <c r="H193" s="19" t="str">
        <f ca="1">_xlfn.XLOOKUP(A193,FACTURA!A:A,FACTURA!E:E,"NO PLANIFICADO")</f>
        <v>PLANIFICADA</v>
      </c>
      <c r="I193" s="19" t="str">
        <f t="shared" si="2"/>
        <v>NO</v>
      </c>
      <c r="K193" s="23" t="s">
        <v>94</v>
      </c>
      <c r="N193" s="20">
        <f ca="1">_xlfn.XLOOKUP(A193,FACTURA!A:A,FACTURA!F:F,"NO APLICA")</f>
        <v>46102</v>
      </c>
    </row>
    <row r="194" spans="8:14" x14ac:dyDescent="0.25">
      <c r="H194" s="19" t="str">
        <f ca="1">_xlfn.XLOOKUP(A194,FACTURA!A:A,FACTURA!E:E,"NO PLANIFICADO")</f>
        <v>PLANIFICADA</v>
      </c>
      <c r="I194" s="19" t="str">
        <f t="shared" ref="I194:I257" si="3">IF(OR(E194="V.TECNICA",E194="PROYECTO",E194="IMPLEMENTACION"),"SI","NO")</f>
        <v>NO</v>
      </c>
      <c r="K194" s="23" t="s">
        <v>94</v>
      </c>
      <c r="N194" s="20" t="str">
        <f>_xlfn.XLOOKUP(A194,FACTURA!A:A,FACTURA!F:F,"NO APLICA")</f>
        <v>NO APLICA</v>
      </c>
    </row>
    <row r="195" spans="8:14" x14ac:dyDescent="0.25">
      <c r="H195" s="19" t="str">
        <f>_xlfn.XLOOKUP(A195,FACTURA!A:A,FACTURA!E:E,"NO PLANIFICADO")</f>
        <v>NO PLANIFICADO</v>
      </c>
      <c r="I195" s="19" t="str">
        <f t="shared" si="3"/>
        <v>NO</v>
      </c>
      <c r="K195" s="23" t="s">
        <v>94</v>
      </c>
      <c r="N195" s="20" t="str">
        <f>_xlfn.XLOOKUP(A195,FACTURA!A:A,FACTURA!F:F,"NO APLICA")</f>
        <v>NO APLICA</v>
      </c>
    </row>
    <row r="196" spans="8:14" x14ac:dyDescent="0.25">
      <c r="H196" s="19" t="str">
        <f>_xlfn.XLOOKUP(A196,FACTURA!A:A,FACTURA!E:E,"NO PLANIFICADO")</f>
        <v>NO PLANIFICADO</v>
      </c>
      <c r="I196" s="19" t="str">
        <f t="shared" si="3"/>
        <v>NO</v>
      </c>
      <c r="K196" s="23" t="s">
        <v>94</v>
      </c>
      <c r="N196" s="20" t="str">
        <f>_xlfn.XLOOKUP(A196,FACTURA!A:A,FACTURA!F:F,"NO APLICA")</f>
        <v>NO APLICA</v>
      </c>
    </row>
    <row r="197" spans="8:14" x14ac:dyDescent="0.25">
      <c r="H197" s="19" t="str">
        <f>_xlfn.XLOOKUP(A197,FACTURA!A:A,FACTURA!E:E,"NO PLANIFICADO")</f>
        <v>NO PLANIFICADO</v>
      </c>
      <c r="I197" s="19" t="str">
        <f t="shared" si="3"/>
        <v>NO</v>
      </c>
      <c r="K197" s="23" t="s">
        <v>94</v>
      </c>
      <c r="N197" s="20" t="str">
        <f>_xlfn.XLOOKUP(A197,FACTURA!A:A,FACTURA!F:F,"NO APLICA")</f>
        <v>NO APLICA</v>
      </c>
    </row>
    <row r="198" spans="8:14" x14ac:dyDescent="0.25">
      <c r="H198" s="19" t="str">
        <f>_xlfn.XLOOKUP(A198,FACTURA!A:A,FACTURA!E:E,"NO PLANIFICADO")</f>
        <v>NO PLANIFICADO</v>
      </c>
      <c r="I198" s="19" t="str">
        <f t="shared" si="3"/>
        <v>NO</v>
      </c>
      <c r="K198" s="23" t="s">
        <v>94</v>
      </c>
      <c r="N198" s="20" t="str">
        <f>_xlfn.XLOOKUP(A198,FACTURA!A:A,FACTURA!F:F,"NO APLICA")</f>
        <v>NO APLICA</v>
      </c>
    </row>
    <row r="199" spans="8:14" x14ac:dyDescent="0.25">
      <c r="H199" s="19" t="str">
        <f>_xlfn.XLOOKUP(A199,FACTURA!A:A,FACTURA!E:E,"NO PLANIFICADO")</f>
        <v>NO PLANIFICADO</v>
      </c>
      <c r="I199" s="19" t="str">
        <f t="shared" si="3"/>
        <v>NO</v>
      </c>
      <c r="K199" s="23" t="s">
        <v>94</v>
      </c>
      <c r="N199" s="20" t="str">
        <f>_xlfn.XLOOKUP(A199,FACTURA!A:A,FACTURA!F:F,"NO APLICA")</f>
        <v>NO APLICA</v>
      </c>
    </row>
    <row r="200" spans="8:14" x14ac:dyDescent="0.25">
      <c r="H200" s="19" t="str">
        <f>_xlfn.XLOOKUP(A200,FACTURA!A:A,FACTURA!E:E,"NO PLANIFICADO")</f>
        <v>NO PLANIFICADO</v>
      </c>
      <c r="I200" s="19" t="str">
        <f t="shared" si="3"/>
        <v>NO</v>
      </c>
      <c r="K200" s="23" t="s">
        <v>94</v>
      </c>
      <c r="N200" s="20" t="str">
        <f>_xlfn.XLOOKUP(A200,FACTURA!A:A,FACTURA!F:F,"NO APLICA")</f>
        <v>NO APLICA</v>
      </c>
    </row>
    <row r="201" spans="8:14" x14ac:dyDescent="0.25">
      <c r="H201" s="19" t="str">
        <f ca="1">_xlfn.XLOOKUP(A201,FACTURA!A:A,FACTURA!E:E,"NO PLANIFICADO")</f>
        <v>PLANIFICADA</v>
      </c>
      <c r="I201" s="19" t="str">
        <f t="shared" si="3"/>
        <v>NO</v>
      </c>
      <c r="K201" s="23" t="s">
        <v>94</v>
      </c>
      <c r="N201" s="20">
        <f ca="1">_xlfn.XLOOKUP(A201,FACTURA!A:A,FACTURA!F:F,"NO APLICA")</f>
        <v>46102</v>
      </c>
    </row>
    <row r="202" spans="8:14" x14ac:dyDescent="0.25">
      <c r="H202" s="19" t="str">
        <f>_xlfn.XLOOKUP(A202,FACTURA!A:A,FACTURA!E:E,"NO PLANIFICADO")</f>
        <v>NO PLANIFICADO</v>
      </c>
      <c r="I202" s="19" t="str">
        <f t="shared" si="3"/>
        <v>NO</v>
      </c>
      <c r="K202" s="23" t="s">
        <v>94</v>
      </c>
      <c r="N202" s="20">
        <f ca="1">_xlfn.XLOOKUP(A202,FACTURA!A:A,FACTURA!F:F,"NO APLICA")</f>
        <v>46102</v>
      </c>
    </row>
    <row r="203" spans="8:14" x14ac:dyDescent="0.25">
      <c r="H203" s="19" t="str">
        <f>_xlfn.XLOOKUP(A203,FACTURA!A:A,FACTURA!E:E,"NO PLANIFICADO")</f>
        <v>NO PLANIFICADO</v>
      </c>
      <c r="I203" s="19" t="str">
        <f t="shared" si="3"/>
        <v>NO</v>
      </c>
      <c r="K203" s="23" t="s">
        <v>94</v>
      </c>
      <c r="N203" s="20" t="str">
        <f>_xlfn.XLOOKUP(A203,FACTURA!A:A,FACTURA!F:F,"NO APLICA")</f>
        <v>NO APLICA</v>
      </c>
    </row>
    <row r="204" spans="8:14" x14ac:dyDescent="0.25">
      <c r="H204" s="19" t="str">
        <f>_xlfn.XLOOKUP(A204,FACTURA!A:A,FACTURA!E:E,"NO PLANIFICADO")</f>
        <v>NO PLANIFICADO</v>
      </c>
      <c r="I204" s="19" t="str">
        <f t="shared" si="3"/>
        <v>NO</v>
      </c>
      <c r="K204" s="23" t="s">
        <v>94</v>
      </c>
      <c r="N204" s="20" t="str">
        <f>_xlfn.XLOOKUP(A204,FACTURA!A:A,FACTURA!F:F,"NO APLICA")</f>
        <v>NO APLICA</v>
      </c>
    </row>
    <row r="205" spans="8:14" x14ac:dyDescent="0.25">
      <c r="H205" s="19" t="str">
        <f ca="1">_xlfn.XLOOKUP(A205,FACTURA!A:A,FACTURA!E:E,"NO PLANIFICADO")</f>
        <v>PLANIFICADA</v>
      </c>
      <c r="I205" s="19" t="str">
        <f t="shared" si="3"/>
        <v>NO</v>
      </c>
      <c r="K205" s="23" t="s">
        <v>94</v>
      </c>
      <c r="N205" s="20" t="str">
        <f>_xlfn.XLOOKUP(A205,FACTURA!A:A,FACTURA!F:F,"NO APLICA")</f>
        <v>NO APLICA</v>
      </c>
    </row>
    <row r="206" spans="8:14" x14ac:dyDescent="0.25">
      <c r="H206" s="19" t="str">
        <f ca="1">_xlfn.XLOOKUP(A206,FACTURA!A:A,FACTURA!E:E,"NO PLANIFICADO")</f>
        <v>PLANIFICADA</v>
      </c>
      <c r="I206" s="19" t="str">
        <f t="shared" si="3"/>
        <v>NO</v>
      </c>
      <c r="K206" s="23" t="s">
        <v>94</v>
      </c>
      <c r="N206" s="20" t="str">
        <f>_xlfn.XLOOKUP(A206,FACTURA!A:A,FACTURA!F:F,"NO APLICA")</f>
        <v>NO APLICA</v>
      </c>
    </row>
    <row r="207" spans="8:14" x14ac:dyDescent="0.25">
      <c r="H207" s="19" t="str">
        <f>_xlfn.XLOOKUP(A207,FACTURA!A:A,FACTURA!E:E,"NO PLANIFICADO")</f>
        <v>NO PLANIFICADO</v>
      </c>
      <c r="I207" s="19" t="str">
        <f t="shared" si="3"/>
        <v>NO</v>
      </c>
      <c r="K207" s="23" t="s">
        <v>94</v>
      </c>
      <c r="N207" s="20" t="str">
        <f>_xlfn.XLOOKUP(A207,FACTURA!A:A,FACTURA!F:F,"NO APLICA")</f>
        <v>NO APLICA</v>
      </c>
    </row>
    <row r="208" spans="8:14" x14ac:dyDescent="0.25">
      <c r="H208" s="19" t="str">
        <f>_xlfn.XLOOKUP(A208,FACTURA!A:A,FACTURA!E:E,"NO PLANIFICADO")</f>
        <v>NO PLANIFICADO</v>
      </c>
      <c r="I208" s="19" t="str">
        <f t="shared" si="3"/>
        <v>NO</v>
      </c>
      <c r="K208" s="23" t="s">
        <v>94</v>
      </c>
      <c r="N208" s="20" t="str">
        <f>_xlfn.XLOOKUP(A208,FACTURA!A:A,FACTURA!F:F,"NO APLICA")</f>
        <v>NO APLICA</v>
      </c>
    </row>
    <row r="209" spans="8:14" x14ac:dyDescent="0.25">
      <c r="H209" s="19" t="str">
        <f>_xlfn.XLOOKUP(A209,FACTURA!A:A,FACTURA!E:E,"NO PLANIFICADO")</f>
        <v>NO PLANIFICADO</v>
      </c>
      <c r="I209" s="19" t="str">
        <f t="shared" si="3"/>
        <v>NO</v>
      </c>
      <c r="K209" s="23" t="s">
        <v>94</v>
      </c>
      <c r="N209" s="20" t="str">
        <f>_xlfn.XLOOKUP(A209,FACTURA!A:A,FACTURA!F:F,"NO APLICA")</f>
        <v>NO APLICA</v>
      </c>
    </row>
    <row r="210" spans="8:14" x14ac:dyDescent="0.25">
      <c r="H210" s="19" t="str">
        <f>_xlfn.XLOOKUP(A210,FACTURA!A:A,FACTURA!E:E,"NO PLANIFICADO")</f>
        <v>NO PLANIFICADO</v>
      </c>
      <c r="I210" s="19" t="str">
        <f t="shared" si="3"/>
        <v>NO</v>
      </c>
      <c r="K210" s="23" t="s">
        <v>94</v>
      </c>
      <c r="N210" s="20" t="str">
        <f>_xlfn.XLOOKUP(A210,FACTURA!A:A,FACTURA!F:F,"NO APLICA")</f>
        <v>NO APLICA</v>
      </c>
    </row>
    <row r="211" spans="8:14" x14ac:dyDescent="0.25">
      <c r="H211" s="19" t="str">
        <f>_xlfn.XLOOKUP(A211,FACTURA!A:A,FACTURA!E:E,"NO PLANIFICADO")</f>
        <v>NO PLANIFICADO</v>
      </c>
      <c r="I211" s="19" t="str">
        <f t="shared" si="3"/>
        <v>NO</v>
      </c>
      <c r="K211" s="23" t="s">
        <v>94</v>
      </c>
      <c r="N211" s="20" t="str">
        <f>_xlfn.XLOOKUP(A211,FACTURA!A:A,FACTURA!F:F,"NO APLICA")</f>
        <v>NO APLICA</v>
      </c>
    </row>
    <row r="212" spans="8:14" x14ac:dyDescent="0.25">
      <c r="H212" s="19" t="str">
        <f>_xlfn.XLOOKUP(A212,FACTURA!A:A,FACTURA!E:E,"NO PLANIFICADO")</f>
        <v>NO PLANIFICADO</v>
      </c>
      <c r="I212" s="19" t="str">
        <f t="shared" si="3"/>
        <v>NO</v>
      </c>
      <c r="K212" s="23" t="s">
        <v>94</v>
      </c>
      <c r="N212" s="20" t="str">
        <f>_xlfn.XLOOKUP(A212,FACTURA!A:A,FACTURA!F:F,"NO APLICA")</f>
        <v>NO APLICA</v>
      </c>
    </row>
    <row r="213" spans="8:14" x14ac:dyDescent="0.25">
      <c r="H213" s="19" t="str">
        <f>_xlfn.XLOOKUP(A213,FACTURA!A:A,FACTURA!E:E,"NO PLANIFICADO")</f>
        <v>NO PLANIFICADO</v>
      </c>
      <c r="I213" s="19" t="str">
        <f t="shared" si="3"/>
        <v>NO</v>
      </c>
      <c r="K213" s="23" t="s">
        <v>94</v>
      </c>
      <c r="N213" s="20">
        <f ca="1">_xlfn.XLOOKUP(A213,FACTURA!A:A,FACTURA!F:F,"NO APLICA")</f>
        <v>46102</v>
      </c>
    </row>
    <row r="214" spans="8:14" x14ac:dyDescent="0.25">
      <c r="H214" s="19" t="str">
        <f>_xlfn.XLOOKUP(A214,FACTURA!A:A,FACTURA!E:E,"NO PLANIFICADO")</f>
        <v>NO PLANIFICADO</v>
      </c>
      <c r="I214" s="19" t="str">
        <f t="shared" si="3"/>
        <v>NO</v>
      </c>
      <c r="K214" s="23" t="s">
        <v>94</v>
      </c>
      <c r="N214" s="20" t="str">
        <f>_xlfn.XLOOKUP(A214,FACTURA!A:A,FACTURA!F:F,"NO APLICA")</f>
        <v>NO APLICA</v>
      </c>
    </row>
    <row r="215" spans="8:14" x14ac:dyDescent="0.25">
      <c r="H215" s="19" t="str">
        <f>_xlfn.XLOOKUP(A215,FACTURA!A:A,FACTURA!E:E,"NO PLANIFICADO")</f>
        <v>NO PLANIFICADO</v>
      </c>
      <c r="I215" s="19" t="str">
        <f t="shared" si="3"/>
        <v>NO</v>
      </c>
      <c r="K215" s="23" t="s">
        <v>94</v>
      </c>
      <c r="N215" s="20" t="str">
        <f>_xlfn.XLOOKUP(A215,FACTURA!A:A,FACTURA!F:F,"NO APLICA")</f>
        <v>NO APLICA</v>
      </c>
    </row>
    <row r="216" spans="8:14" x14ac:dyDescent="0.25">
      <c r="H216" s="19" t="str">
        <f>_xlfn.XLOOKUP(A216,FACTURA!A:A,FACTURA!E:E,"NO PLANIFICADO")</f>
        <v>NO PLANIFICADO</v>
      </c>
      <c r="I216" s="19" t="str">
        <f t="shared" si="3"/>
        <v>NO</v>
      </c>
      <c r="K216" s="23" t="s">
        <v>94</v>
      </c>
      <c r="N216" s="20" t="str">
        <f>_xlfn.XLOOKUP(A216,FACTURA!A:A,FACTURA!F:F,"NO APLICA")</f>
        <v>NO APLICA</v>
      </c>
    </row>
    <row r="217" spans="8:14" x14ac:dyDescent="0.25">
      <c r="H217" s="19" t="str">
        <f>_xlfn.XLOOKUP(A217,FACTURA!A:A,FACTURA!E:E,"NO PLANIFICADO")</f>
        <v>NO PLANIFICADO</v>
      </c>
      <c r="I217" s="19" t="str">
        <f t="shared" si="3"/>
        <v>NO</v>
      </c>
      <c r="K217" s="23" t="s">
        <v>94</v>
      </c>
      <c r="N217" s="20" t="str">
        <f>_xlfn.XLOOKUP(A217,FACTURA!A:A,FACTURA!F:F,"NO APLICA")</f>
        <v>NO APLICA</v>
      </c>
    </row>
    <row r="218" spans="8:14" x14ac:dyDescent="0.25">
      <c r="H218" s="19" t="str">
        <f ca="1">_xlfn.XLOOKUP(A218,FACTURA!A:A,FACTURA!E:E,"NO PLANIFICADO")</f>
        <v>PLANIFICADA</v>
      </c>
      <c r="I218" s="19" t="str">
        <f t="shared" si="3"/>
        <v>NO</v>
      </c>
      <c r="K218" s="23" t="s">
        <v>94</v>
      </c>
      <c r="N218" s="20" t="str">
        <f>_xlfn.XLOOKUP(A218,FACTURA!A:A,FACTURA!F:F,"NO APLICA")</f>
        <v>NO APLICA</v>
      </c>
    </row>
    <row r="219" spans="8:14" x14ac:dyDescent="0.25">
      <c r="H219" s="19" t="str">
        <f>_xlfn.XLOOKUP(A219,FACTURA!A:A,FACTURA!E:E,"NO PLANIFICADO")</f>
        <v>NO PLANIFICADO</v>
      </c>
      <c r="I219" s="19" t="str">
        <f t="shared" si="3"/>
        <v>NO</v>
      </c>
      <c r="K219" s="23" t="s">
        <v>94</v>
      </c>
      <c r="N219" s="20" t="str">
        <f>_xlfn.XLOOKUP(A219,FACTURA!A:A,FACTURA!F:F,"NO APLICA")</f>
        <v>NO APLICA</v>
      </c>
    </row>
    <row r="220" spans="8:14" x14ac:dyDescent="0.25">
      <c r="H220" s="19" t="str">
        <f>_xlfn.XLOOKUP(A220,FACTURA!A:A,FACTURA!E:E,"NO PLANIFICADO")</f>
        <v>NO PLANIFICADO</v>
      </c>
      <c r="I220" s="19" t="str">
        <f t="shared" si="3"/>
        <v>NO</v>
      </c>
      <c r="K220" s="23" t="s">
        <v>94</v>
      </c>
      <c r="N220" s="20" t="str">
        <f>_xlfn.XLOOKUP(A220,FACTURA!A:A,FACTURA!F:F,"NO APLICA")</f>
        <v>NO APLICA</v>
      </c>
    </row>
    <row r="221" spans="8:14" x14ac:dyDescent="0.25">
      <c r="H221" s="19" t="str">
        <f>_xlfn.XLOOKUP(A221,FACTURA!A:A,FACTURA!E:E,"NO PLANIFICADO")</f>
        <v>NO PLANIFICADO</v>
      </c>
      <c r="I221" s="19" t="str">
        <f t="shared" si="3"/>
        <v>NO</v>
      </c>
      <c r="K221" s="23" t="s">
        <v>94</v>
      </c>
      <c r="N221" s="20" t="str">
        <f>_xlfn.XLOOKUP(A221,FACTURA!A:A,FACTURA!F:F,"NO APLICA")</f>
        <v>NO APLICA</v>
      </c>
    </row>
    <row r="222" spans="8:14" x14ac:dyDescent="0.25">
      <c r="H222" s="19" t="str">
        <f ca="1">_xlfn.XLOOKUP(A222,FACTURA!A:A,FACTURA!E:E,"NO PLANIFICADO")</f>
        <v>PLANIFICADA</v>
      </c>
      <c r="I222" s="19" t="str">
        <f t="shared" si="3"/>
        <v>NO</v>
      </c>
      <c r="K222" s="23" t="s">
        <v>94</v>
      </c>
      <c r="N222" s="20" t="str">
        <f>_xlfn.XLOOKUP(A222,FACTURA!A:A,FACTURA!F:F,"NO APLICA")</f>
        <v>NO APLICA</v>
      </c>
    </row>
    <row r="223" spans="8:14" x14ac:dyDescent="0.25">
      <c r="H223" s="19" t="str">
        <f>_xlfn.XLOOKUP(A223,FACTURA!A:A,FACTURA!E:E,"NO PLANIFICADO")</f>
        <v>NO PLANIFICADO</v>
      </c>
      <c r="I223" s="19" t="str">
        <f t="shared" si="3"/>
        <v>NO</v>
      </c>
      <c r="K223" s="23" t="s">
        <v>94</v>
      </c>
      <c r="N223" s="20" t="str">
        <f>_xlfn.XLOOKUP(A223,FACTURA!A:A,FACTURA!F:F,"NO APLICA")</f>
        <v>NO APLICA</v>
      </c>
    </row>
    <row r="224" spans="8:14" x14ac:dyDescent="0.25">
      <c r="H224" s="19" t="str">
        <f>_xlfn.XLOOKUP(A224,FACTURA!A:A,FACTURA!E:E,"NO PLANIFICADO")</f>
        <v>NO PLANIFICADO</v>
      </c>
      <c r="I224" s="19" t="str">
        <f t="shared" si="3"/>
        <v>NO</v>
      </c>
      <c r="K224" s="23" t="s">
        <v>94</v>
      </c>
      <c r="N224" s="20" t="str">
        <f>_xlfn.XLOOKUP(A224,FACTURA!A:A,FACTURA!F:F,"NO APLICA")</f>
        <v>NO APLICA</v>
      </c>
    </row>
    <row r="225" spans="8:14" x14ac:dyDescent="0.25">
      <c r="H225" s="19" t="str">
        <f ca="1">_xlfn.XLOOKUP(A225,FACTURA!A:A,FACTURA!E:E,"NO PLANIFICADO")</f>
        <v>PLANIFICADA</v>
      </c>
      <c r="I225" s="19" t="str">
        <f t="shared" si="3"/>
        <v>NO</v>
      </c>
      <c r="K225" s="23" t="s">
        <v>94</v>
      </c>
      <c r="N225" s="20" t="str">
        <f>_xlfn.XLOOKUP(A225,FACTURA!A:A,FACTURA!F:F,"NO APLICA")</f>
        <v>NO APLICA</v>
      </c>
    </row>
    <row r="226" spans="8:14" x14ac:dyDescent="0.25">
      <c r="H226" s="19" t="str">
        <f>_xlfn.XLOOKUP(A226,FACTURA!A:A,FACTURA!E:E,"NO PLANIFICADO")</f>
        <v>NO PLANIFICADO</v>
      </c>
      <c r="I226" s="19" t="str">
        <f t="shared" si="3"/>
        <v>NO</v>
      </c>
      <c r="K226" s="23" t="s">
        <v>94</v>
      </c>
      <c r="N226" s="20" t="str">
        <f>_xlfn.XLOOKUP(A226,FACTURA!A:A,FACTURA!F:F,"NO APLICA")</f>
        <v>NO APLICA</v>
      </c>
    </row>
    <row r="227" spans="8:14" x14ac:dyDescent="0.25">
      <c r="H227" s="19" t="str">
        <f>_xlfn.XLOOKUP(A227,FACTURA!A:A,FACTURA!E:E,"NO PLANIFICADO")</f>
        <v>NO PLANIFICADO</v>
      </c>
      <c r="I227" s="19" t="str">
        <f t="shared" si="3"/>
        <v>NO</v>
      </c>
      <c r="K227" s="23" t="s">
        <v>94</v>
      </c>
      <c r="N227" s="20" t="str">
        <f>_xlfn.XLOOKUP(A227,FACTURA!A:A,FACTURA!F:F,"NO APLICA")</f>
        <v>NO APLICA</v>
      </c>
    </row>
    <row r="228" spans="8:14" x14ac:dyDescent="0.25">
      <c r="H228" s="19" t="str">
        <f>_xlfn.XLOOKUP(A228,FACTURA!A:A,FACTURA!E:E,"NO PLANIFICADO")</f>
        <v>NO PLANIFICADO</v>
      </c>
      <c r="I228" s="19" t="str">
        <f t="shared" si="3"/>
        <v>NO</v>
      </c>
      <c r="K228" s="23" t="s">
        <v>94</v>
      </c>
      <c r="N228" s="20" t="str">
        <f>_xlfn.XLOOKUP(A228,FACTURA!A:A,FACTURA!F:F,"NO APLICA")</f>
        <v>NO APLICA</v>
      </c>
    </row>
    <row r="229" spans="8:14" x14ac:dyDescent="0.25">
      <c r="H229" s="19" t="str">
        <f>_xlfn.XLOOKUP(A229,FACTURA!A:A,FACTURA!E:E,"NO PLANIFICADO")</f>
        <v>NO PLANIFICADO</v>
      </c>
      <c r="I229" s="19" t="str">
        <f t="shared" si="3"/>
        <v>NO</v>
      </c>
      <c r="K229" s="23" t="s">
        <v>94</v>
      </c>
      <c r="N229" s="20" t="str">
        <f>_xlfn.XLOOKUP(A229,FACTURA!A:A,FACTURA!F:F,"NO APLICA")</f>
        <v>NO APLICA</v>
      </c>
    </row>
    <row r="230" spans="8:14" x14ac:dyDescent="0.25">
      <c r="H230" s="19" t="str">
        <f>_xlfn.XLOOKUP(A230,FACTURA!A:A,FACTURA!E:E,"NO PLANIFICADO")</f>
        <v>NO PLANIFICADO</v>
      </c>
      <c r="I230" s="19" t="str">
        <f t="shared" si="3"/>
        <v>NO</v>
      </c>
      <c r="K230" s="23" t="s">
        <v>94</v>
      </c>
      <c r="N230" s="20" t="str">
        <f>_xlfn.XLOOKUP(A230,FACTURA!A:A,FACTURA!F:F,"NO APLICA")</f>
        <v>NO APLICA</v>
      </c>
    </row>
    <row r="231" spans="8:14" x14ac:dyDescent="0.25">
      <c r="H231" s="19" t="str">
        <f>_xlfn.XLOOKUP(A231,FACTURA!A:A,FACTURA!E:E,"NO PLANIFICADO")</f>
        <v>NO PLANIFICADO</v>
      </c>
      <c r="I231" s="19" t="str">
        <f t="shared" si="3"/>
        <v>NO</v>
      </c>
      <c r="K231" s="23" t="s">
        <v>94</v>
      </c>
      <c r="N231" s="20" t="str">
        <f>_xlfn.XLOOKUP(A231,FACTURA!A:A,FACTURA!F:F,"NO APLICA")</f>
        <v>NO APLICA</v>
      </c>
    </row>
    <row r="232" spans="8:14" x14ac:dyDescent="0.25">
      <c r="H232" s="19" t="str">
        <f>_xlfn.XLOOKUP(A232,FACTURA!A:A,FACTURA!E:E,"NO PLANIFICADO")</f>
        <v>NO PLANIFICADO</v>
      </c>
      <c r="I232" s="19" t="str">
        <f t="shared" si="3"/>
        <v>NO</v>
      </c>
      <c r="K232" s="23" t="s">
        <v>94</v>
      </c>
      <c r="N232" s="20" t="str">
        <f>_xlfn.XLOOKUP(A232,FACTURA!A:A,FACTURA!F:F,"NO APLICA")</f>
        <v>NO APLICA</v>
      </c>
    </row>
    <row r="233" spans="8:14" x14ac:dyDescent="0.25">
      <c r="H233" s="19" t="str">
        <f>_xlfn.XLOOKUP(A233,FACTURA!A:A,FACTURA!E:E,"NO PLANIFICADO")</f>
        <v>NO PLANIFICADO</v>
      </c>
      <c r="I233" s="19" t="str">
        <f t="shared" si="3"/>
        <v>NO</v>
      </c>
      <c r="K233" s="23" t="s">
        <v>94</v>
      </c>
      <c r="N233" s="20" t="str">
        <f>_xlfn.XLOOKUP(A233,FACTURA!A:A,FACTURA!F:F,"NO APLICA")</f>
        <v>NO APLICA</v>
      </c>
    </row>
    <row r="234" spans="8:14" x14ac:dyDescent="0.25">
      <c r="H234" s="19" t="str">
        <f>_xlfn.XLOOKUP(A234,FACTURA!A:A,FACTURA!E:E,"NO PLANIFICADO")</f>
        <v>NO PLANIFICADO</v>
      </c>
      <c r="I234" s="19" t="str">
        <f t="shared" si="3"/>
        <v>NO</v>
      </c>
      <c r="K234" s="23" t="s">
        <v>94</v>
      </c>
      <c r="N234" s="20" t="str">
        <f>_xlfn.XLOOKUP(A234,FACTURA!A:A,FACTURA!F:F,"NO APLICA")</f>
        <v>NO APLICA</v>
      </c>
    </row>
    <row r="235" spans="8:14" x14ac:dyDescent="0.25">
      <c r="H235" s="19" t="str">
        <f>_xlfn.XLOOKUP(A235,FACTURA!A:A,FACTURA!E:E,"NO PLANIFICADO")</f>
        <v>NO PLANIFICADO</v>
      </c>
      <c r="I235" s="19" t="str">
        <f t="shared" si="3"/>
        <v>NO</v>
      </c>
      <c r="K235" s="23" t="s">
        <v>94</v>
      </c>
      <c r="N235" s="20" t="str">
        <f>_xlfn.XLOOKUP(A235,FACTURA!A:A,FACTURA!F:F,"NO APLICA")</f>
        <v>NO APLICA</v>
      </c>
    </row>
    <row r="236" spans="8:14" x14ac:dyDescent="0.25">
      <c r="H236" s="19" t="str">
        <f>_xlfn.XLOOKUP(A236,FACTURA!A:A,FACTURA!E:E,"NO PLANIFICADO")</f>
        <v>NO PLANIFICADO</v>
      </c>
      <c r="I236" s="19" t="str">
        <f t="shared" si="3"/>
        <v>NO</v>
      </c>
      <c r="K236" s="23" t="s">
        <v>94</v>
      </c>
      <c r="N236" s="20" t="str">
        <f>_xlfn.XLOOKUP(A236,FACTURA!A:A,FACTURA!F:F,"NO APLICA")</f>
        <v>NO APLICA</v>
      </c>
    </row>
    <row r="237" spans="8:14" x14ac:dyDescent="0.25">
      <c r="H237" s="19" t="str">
        <f>_xlfn.XLOOKUP(A237,FACTURA!A:A,FACTURA!E:E,"NO PLANIFICADO")</f>
        <v>NO PLANIFICADO</v>
      </c>
      <c r="I237" s="19" t="str">
        <f t="shared" si="3"/>
        <v>NO</v>
      </c>
      <c r="K237" s="23" t="s">
        <v>94</v>
      </c>
      <c r="N237" s="20">
        <f ca="1">_xlfn.XLOOKUP(A237,FACTURA!A:A,FACTURA!F:F,"NO APLICA")</f>
        <v>46102</v>
      </c>
    </row>
    <row r="238" spans="8:14" x14ac:dyDescent="0.25">
      <c r="H238" s="19" t="str">
        <f>_xlfn.XLOOKUP(A238,FACTURA!A:A,FACTURA!E:E,"NO PLANIFICADO")</f>
        <v>NO PLANIFICADO</v>
      </c>
      <c r="I238" s="19" t="str">
        <f t="shared" si="3"/>
        <v>NO</v>
      </c>
      <c r="K238" s="23" t="s">
        <v>94</v>
      </c>
      <c r="N238" s="20" t="str">
        <f>_xlfn.XLOOKUP(A238,FACTURA!A:A,FACTURA!F:F,"NO APLICA")</f>
        <v>NO APLICA</v>
      </c>
    </row>
    <row r="239" spans="8:14" x14ac:dyDescent="0.25">
      <c r="H239" s="19" t="str">
        <f>_xlfn.XLOOKUP(A239,FACTURA!A:A,FACTURA!E:E,"NO PLANIFICADO")</f>
        <v>NO PLANIFICADO</v>
      </c>
      <c r="I239" s="19" t="str">
        <f t="shared" si="3"/>
        <v>NO</v>
      </c>
      <c r="K239" s="23" t="s">
        <v>94</v>
      </c>
      <c r="N239" s="20" t="str">
        <f>_xlfn.XLOOKUP(A239,FACTURA!A:A,FACTURA!F:F,"NO APLICA")</f>
        <v>NO APLICA</v>
      </c>
    </row>
    <row r="240" spans="8:14" x14ac:dyDescent="0.25">
      <c r="H240" s="19" t="str">
        <f>_xlfn.XLOOKUP(A240,FACTURA!A:A,FACTURA!E:E,"NO PLANIFICADO")</f>
        <v>NO PLANIFICADO</v>
      </c>
      <c r="I240" s="19" t="str">
        <f t="shared" si="3"/>
        <v>NO</v>
      </c>
      <c r="K240" s="23" t="s">
        <v>94</v>
      </c>
      <c r="N240" s="20" t="str">
        <f>_xlfn.XLOOKUP(A240,FACTURA!A:A,FACTURA!F:F,"NO APLICA")</f>
        <v>NO APLICA</v>
      </c>
    </row>
    <row r="241" spans="8:14" x14ac:dyDescent="0.25">
      <c r="H241" s="19" t="str">
        <f ca="1">_xlfn.XLOOKUP(A241,FACTURA!A:A,FACTURA!E:E,"NO PLANIFICADO")</f>
        <v>PLANIFICADA</v>
      </c>
      <c r="I241" s="19" t="str">
        <f t="shared" si="3"/>
        <v>NO</v>
      </c>
      <c r="K241" s="23" t="s">
        <v>94</v>
      </c>
      <c r="N241" s="20" t="str">
        <f>_xlfn.XLOOKUP(A241,FACTURA!A:A,FACTURA!F:F,"NO APLICA")</f>
        <v>NO APLICA</v>
      </c>
    </row>
    <row r="242" spans="8:14" x14ac:dyDescent="0.25">
      <c r="H242" s="19" t="str">
        <f>_xlfn.XLOOKUP(A242,FACTURA!A:A,FACTURA!E:E,"NO PLANIFICADO")</f>
        <v>NO PLANIFICADO</v>
      </c>
      <c r="I242" s="19" t="str">
        <f t="shared" si="3"/>
        <v>NO</v>
      </c>
      <c r="K242" s="23" t="s">
        <v>94</v>
      </c>
      <c r="N242" s="20" t="str">
        <f>_xlfn.XLOOKUP(A242,FACTURA!A:A,FACTURA!F:F,"NO APLICA")</f>
        <v>NO APLICA</v>
      </c>
    </row>
    <row r="243" spans="8:14" x14ac:dyDescent="0.25">
      <c r="H243" s="19" t="str">
        <f ca="1">_xlfn.XLOOKUP(A243,FACTURA!A:A,FACTURA!E:E,"NO PLANIFICADO")</f>
        <v>PLANIFICADA</v>
      </c>
      <c r="I243" s="19" t="str">
        <f t="shared" si="3"/>
        <v>NO</v>
      </c>
      <c r="K243" s="23" t="s">
        <v>94</v>
      </c>
      <c r="N243" s="20" t="str">
        <f>_xlfn.XLOOKUP(A243,FACTURA!A:A,FACTURA!F:F,"NO APLICA")</f>
        <v>NO APLICA</v>
      </c>
    </row>
    <row r="244" spans="8:14" x14ac:dyDescent="0.25">
      <c r="H244" s="19" t="str">
        <f>_xlfn.XLOOKUP(A244,FACTURA!A:A,FACTURA!E:E,"NO PLANIFICADO")</f>
        <v>NO PLANIFICADO</v>
      </c>
      <c r="I244" s="19" t="str">
        <f t="shared" si="3"/>
        <v>NO</v>
      </c>
      <c r="K244" s="23" t="s">
        <v>94</v>
      </c>
      <c r="N244" s="20" t="str">
        <f>_xlfn.XLOOKUP(A244,FACTURA!A:A,FACTURA!F:F,"NO APLICA")</f>
        <v>NO APLICA</v>
      </c>
    </row>
    <row r="245" spans="8:14" x14ac:dyDescent="0.25">
      <c r="H245" s="19" t="str">
        <f>_xlfn.XLOOKUP(A245,FACTURA!A:A,FACTURA!E:E,"NO PLANIFICADO")</f>
        <v>NO PLANIFICADO</v>
      </c>
      <c r="I245" s="19" t="str">
        <f t="shared" si="3"/>
        <v>NO</v>
      </c>
      <c r="K245" s="23" t="s">
        <v>94</v>
      </c>
      <c r="N245" s="20" t="str">
        <f>_xlfn.XLOOKUP(A245,FACTURA!A:A,FACTURA!F:F,"NO APLICA")</f>
        <v>NO APLICA</v>
      </c>
    </row>
    <row r="246" spans="8:14" x14ac:dyDescent="0.25">
      <c r="H246" s="19" t="str">
        <f ca="1">_xlfn.XLOOKUP(A246,FACTURA!A:A,FACTURA!E:E,"NO PLANIFICADO")</f>
        <v>PLANIFICADA</v>
      </c>
      <c r="I246" s="19" t="str">
        <f t="shared" si="3"/>
        <v>NO</v>
      </c>
      <c r="K246" s="23" t="s">
        <v>94</v>
      </c>
      <c r="N246" s="20" t="str">
        <f>_xlfn.XLOOKUP(A246,FACTURA!A:A,FACTURA!F:F,"NO APLICA")</f>
        <v>NO APLICA</v>
      </c>
    </row>
    <row r="247" spans="8:14" x14ac:dyDescent="0.25">
      <c r="H247" s="19" t="str">
        <f>_xlfn.XLOOKUP(A247,FACTURA!A:A,FACTURA!E:E,"NO PLANIFICADO")</f>
        <v>NO PLANIFICADO</v>
      </c>
      <c r="I247" s="19" t="str">
        <f t="shared" si="3"/>
        <v>NO</v>
      </c>
      <c r="K247" s="23" t="s">
        <v>94</v>
      </c>
      <c r="N247" s="20" t="str">
        <f>_xlfn.XLOOKUP(A247,FACTURA!A:A,FACTURA!F:F,"NO APLICA")</f>
        <v>NO APLICA</v>
      </c>
    </row>
    <row r="248" spans="8:14" x14ac:dyDescent="0.25">
      <c r="H248" s="19" t="str">
        <f>_xlfn.XLOOKUP(A248,FACTURA!A:A,FACTURA!E:E,"NO PLANIFICADO")</f>
        <v>NO PLANIFICADO</v>
      </c>
      <c r="I248" s="19" t="str">
        <f t="shared" si="3"/>
        <v>NO</v>
      </c>
      <c r="K248" s="23" t="s">
        <v>94</v>
      </c>
      <c r="N248" s="20" t="str">
        <f>_xlfn.XLOOKUP(A248,FACTURA!A:A,FACTURA!F:F,"NO APLICA")</f>
        <v>NO APLICA</v>
      </c>
    </row>
    <row r="249" spans="8:14" x14ac:dyDescent="0.25">
      <c r="H249" s="19" t="str">
        <f ca="1">_xlfn.XLOOKUP(A249,FACTURA!A:A,FACTURA!E:E,"NO PLANIFICADO")</f>
        <v>PLANIFICADA</v>
      </c>
      <c r="I249" s="19" t="str">
        <f t="shared" si="3"/>
        <v>NO</v>
      </c>
      <c r="K249" s="23" t="s">
        <v>94</v>
      </c>
      <c r="N249" s="20">
        <f ca="1">_xlfn.XLOOKUP(A249,FACTURA!A:A,FACTURA!F:F,"NO APLICA")</f>
        <v>46102</v>
      </c>
    </row>
    <row r="250" spans="8:14" x14ac:dyDescent="0.25">
      <c r="H250" s="19" t="str">
        <f>_xlfn.XLOOKUP(A250,FACTURA!A:A,FACTURA!E:E,"NO PLANIFICADO")</f>
        <v>NO PLANIFICADO</v>
      </c>
      <c r="I250" s="19" t="str">
        <f t="shared" si="3"/>
        <v>NO</v>
      </c>
      <c r="K250" s="23" t="s">
        <v>94</v>
      </c>
      <c r="N250" s="20" t="str">
        <f>_xlfn.XLOOKUP(A250,FACTURA!A:A,FACTURA!F:F,"NO APLICA")</f>
        <v>NO APLICA</v>
      </c>
    </row>
    <row r="251" spans="8:14" x14ac:dyDescent="0.25">
      <c r="H251" s="19" t="str">
        <f>_xlfn.XLOOKUP(A251,FACTURA!A:A,FACTURA!E:E,"NO PLANIFICADO")</f>
        <v>NO PLANIFICADO</v>
      </c>
      <c r="I251" s="19" t="str">
        <f t="shared" si="3"/>
        <v>NO</v>
      </c>
      <c r="K251" s="23" t="s">
        <v>94</v>
      </c>
      <c r="N251" s="20" t="str">
        <f>_xlfn.XLOOKUP(A251,FACTURA!A:A,FACTURA!F:F,"NO APLICA")</f>
        <v>NO APLICA</v>
      </c>
    </row>
    <row r="252" spans="8:14" x14ac:dyDescent="0.25">
      <c r="H252" s="19" t="str">
        <f>_xlfn.XLOOKUP(A252,FACTURA!A:A,FACTURA!E:E,"NO PLANIFICADO")</f>
        <v>NO PLANIFICADO</v>
      </c>
      <c r="I252" s="19" t="str">
        <f t="shared" si="3"/>
        <v>NO</v>
      </c>
      <c r="K252" s="23" t="s">
        <v>94</v>
      </c>
      <c r="N252" s="20">
        <f ca="1">_xlfn.XLOOKUP(A252,FACTURA!A:A,FACTURA!F:F,"NO APLICA")</f>
        <v>46102</v>
      </c>
    </row>
    <row r="253" spans="8:14" x14ac:dyDescent="0.25">
      <c r="H253" s="19" t="str">
        <f ca="1">_xlfn.XLOOKUP(A253,FACTURA!A:A,FACTURA!E:E,"NO PLANIFICADO")</f>
        <v>PLANIFICADA</v>
      </c>
      <c r="I253" s="19" t="str">
        <f t="shared" si="3"/>
        <v>NO</v>
      </c>
      <c r="K253" s="23" t="s">
        <v>94</v>
      </c>
      <c r="N253" s="20" t="str">
        <f>_xlfn.XLOOKUP(A253,FACTURA!A:A,FACTURA!F:F,"NO APLICA")</f>
        <v>NO APLICA</v>
      </c>
    </row>
    <row r="254" spans="8:14" x14ac:dyDescent="0.25">
      <c r="H254" s="19" t="str">
        <f>_xlfn.XLOOKUP(A254,FACTURA!A:A,FACTURA!E:E,"NO PLANIFICADO")</f>
        <v>NO PLANIFICADO</v>
      </c>
      <c r="I254" s="19" t="str">
        <f t="shared" si="3"/>
        <v>NO</v>
      </c>
      <c r="K254" s="23" t="s">
        <v>94</v>
      </c>
      <c r="N254" s="20" t="str">
        <f>_xlfn.XLOOKUP(A254,FACTURA!A:A,FACTURA!F:F,"NO APLICA")</f>
        <v>NO APLICA</v>
      </c>
    </row>
    <row r="255" spans="8:14" x14ac:dyDescent="0.25">
      <c r="H255" s="19" t="str">
        <f>_xlfn.XLOOKUP(A255,FACTURA!A:A,FACTURA!E:E,"NO PLANIFICADO")</f>
        <v>NO PLANIFICADO</v>
      </c>
      <c r="I255" s="19" t="str">
        <f t="shared" si="3"/>
        <v>NO</v>
      </c>
      <c r="K255" s="23" t="s">
        <v>94</v>
      </c>
      <c r="N255" s="20" t="str">
        <f>_xlfn.XLOOKUP(A255,FACTURA!A:A,FACTURA!F:F,"NO APLICA")</f>
        <v>NO APLICA</v>
      </c>
    </row>
    <row r="256" spans="8:14" x14ac:dyDescent="0.25">
      <c r="H256" s="19" t="str">
        <f ca="1">_xlfn.XLOOKUP(A256,FACTURA!A:A,FACTURA!E:E,"NO PLANIFICADO")</f>
        <v>PLANIFICADA</v>
      </c>
      <c r="I256" s="19" t="str">
        <f t="shared" si="3"/>
        <v>NO</v>
      </c>
      <c r="K256" s="23" t="s">
        <v>94</v>
      </c>
      <c r="N256" s="20" t="str">
        <f>_xlfn.XLOOKUP(A256,FACTURA!A:A,FACTURA!F:F,"NO APLICA")</f>
        <v>NO APLICA</v>
      </c>
    </row>
    <row r="257" spans="8:14" x14ac:dyDescent="0.25">
      <c r="H257" s="19" t="str">
        <f>_xlfn.XLOOKUP(A257,FACTURA!A:A,FACTURA!E:E,"NO PLANIFICADO")</f>
        <v>NO PLANIFICADO</v>
      </c>
      <c r="I257" s="19" t="str">
        <f t="shared" si="3"/>
        <v>NO</v>
      </c>
      <c r="K257" s="23" t="s">
        <v>94</v>
      </c>
      <c r="N257" s="20" t="str">
        <f>_xlfn.XLOOKUP(A257,FACTURA!A:A,FACTURA!F:F,"NO APLICA")</f>
        <v>NO APLICA</v>
      </c>
    </row>
    <row r="258" spans="8:14" x14ac:dyDescent="0.25">
      <c r="H258" s="19" t="str">
        <f>_xlfn.XLOOKUP(A258,FACTURA!A:A,FACTURA!E:E,"NO PLANIFICADO")</f>
        <v>NO PLANIFICADO</v>
      </c>
      <c r="I258" s="19" t="str">
        <f t="shared" ref="I258:I321" si="4">IF(OR(E258="V.TECNICA",E258="PROYECTO",E258="IMPLEMENTACION"),"SI","NO")</f>
        <v>NO</v>
      </c>
      <c r="K258" s="23" t="s">
        <v>94</v>
      </c>
      <c r="N258" s="20" t="str">
        <f>_xlfn.XLOOKUP(A258,FACTURA!A:A,FACTURA!F:F,"NO APLICA")</f>
        <v>NO APLICA</v>
      </c>
    </row>
    <row r="259" spans="8:14" x14ac:dyDescent="0.25">
      <c r="H259" s="19" t="str">
        <f>_xlfn.XLOOKUP(A259,FACTURA!A:A,FACTURA!E:E,"NO PLANIFICADO")</f>
        <v>NO PLANIFICADO</v>
      </c>
      <c r="I259" s="19" t="str">
        <f t="shared" si="4"/>
        <v>NO</v>
      </c>
      <c r="K259" s="23" t="s">
        <v>94</v>
      </c>
      <c r="N259" s="20" t="str">
        <f>_xlfn.XLOOKUP(A259,FACTURA!A:A,FACTURA!F:F,"NO APLICA")</f>
        <v>NO APLICA</v>
      </c>
    </row>
    <row r="260" spans="8:14" x14ac:dyDescent="0.25">
      <c r="H260" s="19" t="str">
        <f>_xlfn.XLOOKUP(A260,FACTURA!A:A,FACTURA!E:E,"NO PLANIFICADO")</f>
        <v>NO PLANIFICADO</v>
      </c>
      <c r="I260" s="19" t="str">
        <f t="shared" si="4"/>
        <v>NO</v>
      </c>
      <c r="K260" s="23" t="s">
        <v>94</v>
      </c>
      <c r="N260" s="20" t="str">
        <f>_xlfn.XLOOKUP(A260,FACTURA!A:A,FACTURA!F:F,"NO APLICA")</f>
        <v>NO APLICA</v>
      </c>
    </row>
    <row r="261" spans="8:14" x14ac:dyDescent="0.25">
      <c r="H261" s="19" t="str">
        <f>_xlfn.XLOOKUP(A261,FACTURA!A:A,FACTURA!E:E,"NO PLANIFICADO")</f>
        <v>NO PLANIFICADO</v>
      </c>
      <c r="I261" s="19" t="str">
        <f t="shared" si="4"/>
        <v>NO</v>
      </c>
      <c r="K261" s="23" t="s">
        <v>94</v>
      </c>
      <c r="N261" s="20">
        <f ca="1">_xlfn.XLOOKUP(A261,FACTURA!A:A,FACTURA!F:F,"NO APLICA")</f>
        <v>46102</v>
      </c>
    </row>
    <row r="262" spans="8:14" x14ac:dyDescent="0.25">
      <c r="H262" s="19" t="str">
        <f>_xlfn.XLOOKUP(A262,FACTURA!A:A,FACTURA!E:E,"NO PLANIFICADO")</f>
        <v>NO PLANIFICADO</v>
      </c>
      <c r="I262" s="19" t="str">
        <f t="shared" si="4"/>
        <v>NO</v>
      </c>
      <c r="K262" s="23" t="s">
        <v>94</v>
      </c>
      <c r="N262" s="20" t="str">
        <f>_xlfn.XLOOKUP(A262,FACTURA!A:A,FACTURA!F:F,"NO APLICA")</f>
        <v>NO APLICA</v>
      </c>
    </row>
    <row r="263" spans="8:14" x14ac:dyDescent="0.25">
      <c r="H263" s="19" t="str">
        <f>_xlfn.XLOOKUP(A263,FACTURA!A:A,FACTURA!E:E,"NO PLANIFICADO")</f>
        <v>NO PLANIFICADO</v>
      </c>
      <c r="I263" s="19" t="str">
        <f t="shared" si="4"/>
        <v>NO</v>
      </c>
      <c r="K263" s="23" t="s">
        <v>94</v>
      </c>
      <c r="N263" s="20" t="str">
        <f>_xlfn.XLOOKUP(A263,FACTURA!A:A,FACTURA!F:F,"NO APLICA")</f>
        <v>NO APLICA</v>
      </c>
    </row>
    <row r="264" spans="8:14" x14ac:dyDescent="0.25">
      <c r="H264" s="19" t="str">
        <f>_xlfn.XLOOKUP(A264,FACTURA!A:A,FACTURA!E:E,"NO PLANIFICADO")</f>
        <v>NO PLANIFICADO</v>
      </c>
      <c r="I264" s="19" t="str">
        <f t="shared" si="4"/>
        <v>NO</v>
      </c>
      <c r="K264" s="23" t="s">
        <v>94</v>
      </c>
      <c r="N264" s="20" t="str">
        <f>_xlfn.XLOOKUP(A264,FACTURA!A:A,FACTURA!F:F,"NO APLICA")</f>
        <v>NO APLICA</v>
      </c>
    </row>
    <row r="265" spans="8:14" x14ac:dyDescent="0.25">
      <c r="H265" s="19" t="str">
        <f ca="1">_xlfn.XLOOKUP(A265,FACTURA!A:A,FACTURA!E:E,"NO PLANIFICADO")</f>
        <v>PLANIFICADA</v>
      </c>
      <c r="I265" s="19" t="str">
        <f t="shared" si="4"/>
        <v>NO</v>
      </c>
      <c r="K265" s="23" t="s">
        <v>94</v>
      </c>
      <c r="N265" s="20" t="str">
        <f>_xlfn.XLOOKUP(A265,FACTURA!A:A,FACTURA!F:F,"NO APLICA")</f>
        <v>NO APLICA</v>
      </c>
    </row>
    <row r="266" spans="8:14" x14ac:dyDescent="0.25">
      <c r="H266" s="19" t="str">
        <f ca="1">_xlfn.XLOOKUP(A266,FACTURA!A:A,FACTURA!E:E,"NO PLANIFICADO")</f>
        <v>PLANIFICADA</v>
      </c>
      <c r="I266" s="19" t="str">
        <f t="shared" si="4"/>
        <v>NO</v>
      </c>
      <c r="K266" s="23" t="s">
        <v>94</v>
      </c>
      <c r="N266" s="20" t="str">
        <f>_xlfn.XLOOKUP(A266,FACTURA!A:A,FACTURA!F:F,"NO APLICA")</f>
        <v>NO APLICA</v>
      </c>
    </row>
    <row r="267" spans="8:14" x14ac:dyDescent="0.25">
      <c r="H267" s="19" t="str">
        <f>_xlfn.XLOOKUP(A267,FACTURA!A:A,FACTURA!E:E,"NO PLANIFICADO")</f>
        <v>NO PLANIFICADO</v>
      </c>
      <c r="I267" s="19" t="str">
        <f t="shared" si="4"/>
        <v>NO</v>
      </c>
      <c r="K267" s="23" t="s">
        <v>94</v>
      </c>
      <c r="N267" s="20" t="str">
        <f>_xlfn.XLOOKUP(A267,FACTURA!A:A,FACTURA!F:F,"NO APLICA")</f>
        <v>NO APLICA</v>
      </c>
    </row>
    <row r="268" spans="8:14" x14ac:dyDescent="0.25">
      <c r="H268" s="19" t="str">
        <f>_xlfn.XLOOKUP(A268,FACTURA!A:A,FACTURA!E:E,"NO PLANIFICADO")</f>
        <v>NO PLANIFICADO</v>
      </c>
      <c r="I268" s="19" t="str">
        <f t="shared" si="4"/>
        <v>NO</v>
      </c>
      <c r="K268" s="23" t="s">
        <v>94</v>
      </c>
      <c r="N268" s="20" t="str">
        <f>_xlfn.XLOOKUP(A268,FACTURA!A:A,FACTURA!F:F,"NO APLICA")</f>
        <v>NO APLICA</v>
      </c>
    </row>
    <row r="269" spans="8:14" x14ac:dyDescent="0.25">
      <c r="H269" s="19" t="str">
        <f>_xlfn.XLOOKUP(A269,FACTURA!A:A,FACTURA!E:E,"NO PLANIFICADO")</f>
        <v>NO PLANIFICADO</v>
      </c>
      <c r="I269" s="19" t="str">
        <f t="shared" si="4"/>
        <v>NO</v>
      </c>
      <c r="K269" s="23" t="s">
        <v>94</v>
      </c>
      <c r="N269" s="20" t="str">
        <f>_xlfn.XLOOKUP(A269,FACTURA!A:A,FACTURA!F:F,"NO APLICA")</f>
        <v>NO APLICA</v>
      </c>
    </row>
    <row r="270" spans="8:14" x14ac:dyDescent="0.25">
      <c r="H270" s="19" t="str">
        <f>_xlfn.XLOOKUP(A270,FACTURA!A:A,FACTURA!E:E,"NO PLANIFICADO")</f>
        <v>NO PLANIFICADO</v>
      </c>
      <c r="I270" s="19" t="str">
        <f t="shared" si="4"/>
        <v>NO</v>
      </c>
      <c r="K270" s="23" t="s">
        <v>94</v>
      </c>
      <c r="N270" s="20" t="str">
        <f>_xlfn.XLOOKUP(A270,FACTURA!A:A,FACTURA!F:F,"NO APLICA")</f>
        <v>NO APLICA</v>
      </c>
    </row>
    <row r="271" spans="8:14" x14ac:dyDescent="0.25">
      <c r="H271" s="19" t="str">
        <f>_xlfn.XLOOKUP(A271,FACTURA!A:A,FACTURA!E:E,"NO PLANIFICADO")</f>
        <v>NO PLANIFICADO</v>
      </c>
      <c r="I271" s="19" t="str">
        <f t="shared" si="4"/>
        <v>NO</v>
      </c>
      <c r="K271" s="23" t="s">
        <v>94</v>
      </c>
      <c r="N271" s="20" t="str">
        <f>_xlfn.XLOOKUP(A271,FACTURA!A:A,FACTURA!F:F,"NO APLICA")</f>
        <v>NO APLICA</v>
      </c>
    </row>
    <row r="272" spans="8:14" x14ac:dyDescent="0.25">
      <c r="H272" s="19" t="str">
        <f>_xlfn.XLOOKUP(A272,FACTURA!A:A,FACTURA!E:E,"NO PLANIFICADO")</f>
        <v>NO PLANIFICADO</v>
      </c>
      <c r="I272" s="19" t="str">
        <f t="shared" si="4"/>
        <v>NO</v>
      </c>
      <c r="K272" s="23" t="s">
        <v>94</v>
      </c>
      <c r="N272" s="20" t="str">
        <f>_xlfn.XLOOKUP(A272,FACTURA!A:A,FACTURA!F:F,"NO APLICA")</f>
        <v>NO APLICA</v>
      </c>
    </row>
    <row r="273" spans="8:14" x14ac:dyDescent="0.25">
      <c r="H273" s="19" t="str">
        <f ca="1">_xlfn.XLOOKUP(A273,FACTURA!A:A,FACTURA!E:E,"NO PLANIFICADO")</f>
        <v>PLANIFICADA</v>
      </c>
      <c r="I273" s="19" t="str">
        <f t="shared" si="4"/>
        <v>NO</v>
      </c>
      <c r="K273" s="23" t="s">
        <v>94</v>
      </c>
      <c r="N273" s="20" t="str">
        <f>_xlfn.XLOOKUP(A273,FACTURA!A:A,FACTURA!F:F,"NO APLICA")</f>
        <v>NO APLICA</v>
      </c>
    </row>
    <row r="274" spans="8:14" x14ac:dyDescent="0.25">
      <c r="H274" s="19" t="str">
        <f>_xlfn.XLOOKUP(A274,FACTURA!A:A,FACTURA!E:E,"NO PLANIFICADO")</f>
        <v>NO PLANIFICADO</v>
      </c>
      <c r="I274" s="19" t="str">
        <f t="shared" si="4"/>
        <v>NO</v>
      </c>
      <c r="K274" s="23" t="s">
        <v>94</v>
      </c>
      <c r="N274" s="20">
        <f ca="1">_xlfn.XLOOKUP(A274,FACTURA!A:A,FACTURA!F:F,"NO APLICA")</f>
        <v>46102</v>
      </c>
    </row>
    <row r="275" spans="8:14" x14ac:dyDescent="0.25">
      <c r="H275" s="19" t="str">
        <f>_xlfn.XLOOKUP(A275,FACTURA!A:A,FACTURA!E:E,"NO PLANIFICADO")</f>
        <v>NO PLANIFICADO</v>
      </c>
      <c r="I275" s="19" t="str">
        <f t="shared" si="4"/>
        <v>NO</v>
      </c>
      <c r="K275" s="23" t="s">
        <v>94</v>
      </c>
      <c r="N275" s="20" t="str">
        <f>_xlfn.XLOOKUP(A275,FACTURA!A:A,FACTURA!F:F,"NO APLICA")</f>
        <v>NO APLICA</v>
      </c>
    </row>
    <row r="276" spans="8:14" x14ac:dyDescent="0.25">
      <c r="H276" s="19" t="str">
        <f>_xlfn.XLOOKUP(A276,FACTURA!A:A,FACTURA!E:E,"NO PLANIFICADO")</f>
        <v>NO PLANIFICADO</v>
      </c>
      <c r="I276" s="19" t="str">
        <f t="shared" si="4"/>
        <v>NO</v>
      </c>
      <c r="K276" s="23" t="s">
        <v>94</v>
      </c>
      <c r="N276" s="20" t="str">
        <f>_xlfn.XLOOKUP(A276,FACTURA!A:A,FACTURA!F:F,"NO APLICA")</f>
        <v>NO APLICA</v>
      </c>
    </row>
    <row r="277" spans="8:14" x14ac:dyDescent="0.25">
      <c r="H277" s="19" t="str">
        <f>_xlfn.XLOOKUP(A277,FACTURA!A:A,FACTURA!E:E,"NO PLANIFICADO")</f>
        <v>NO PLANIFICADO</v>
      </c>
      <c r="I277" s="19" t="str">
        <f t="shared" si="4"/>
        <v>NO</v>
      </c>
      <c r="K277" s="23" t="s">
        <v>94</v>
      </c>
      <c r="N277" s="20" t="str">
        <f>_xlfn.XLOOKUP(A277,FACTURA!A:A,FACTURA!F:F,"NO APLICA")</f>
        <v>NO APLICA</v>
      </c>
    </row>
    <row r="278" spans="8:14" x14ac:dyDescent="0.25">
      <c r="H278" s="19" t="str">
        <f>_xlfn.XLOOKUP(A278,FACTURA!A:A,FACTURA!E:E,"NO PLANIFICADO")</f>
        <v>NO PLANIFICADO</v>
      </c>
      <c r="I278" s="19" t="str">
        <f t="shared" si="4"/>
        <v>NO</v>
      </c>
      <c r="K278" s="23" t="s">
        <v>94</v>
      </c>
      <c r="N278" s="20" t="str">
        <f>_xlfn.XLOOKUP(A278,FACTURA!A:A,FACTURA!F:F,"NO APLICA")</f>
        <v>NO APLICA</v>
      </c>
    </row>
    <row r="279" spans="8:14" x14ac:dyDescent="0.25">
      <c r="H279" s="19" t="str">
        <f>_xlfn.XLOOKUP(A279,FACTURA!A:A,FACTURA!E:E,"NO PLANIFICADO")</f>
        <v>NO PLANIFICADO</v>
      </c>
      <c r="I279" s="19" t="str">
        <f t="shared" si="4"/>
        <v>NO</v>
      </c>
      <c r="K279" s="23" t="s">
        <v>94</v>
      </c>
      <c r="N279" s="20" t="str">
        <f>_xlfn.XLOOKUP(A279,FACTURA!A:A,FACTURA!F:F,"NO APLICA")</f>
        <v>NO APLICA</v>
      </c>
    </row>
    <row r="280" spans="8:14" x14ac:dyDescent="0.25">
      <c r="H280" s="19" t="str">
        <f>_xlfn.XLOOKUP(A280,FACTURA!A:A,FACTURA!E:E,"NO PLANIFICADO")</f>
        <v>NO PLANIFICADO</v>
      </c>
      <c r="I280" s="19" t="str">
        <f t="shared" si="4"/>
        <v>NO</v>
      </c>
      <c r="K280" s="23" t="s">
        <v>94</v>
      </c>
      <c r="N280" s="20" t="str">
        <f>_xlfn.XLOOKUP(A280,FACTURA!A:A,FACTURA!F:F,"NO APLICA")</f>
        <v>NO APLICA</v>
      </c>
    </row>
    <row r="281" spans="8:14" x14ac:dyDescent="0.25">
      <c r="H281" s="19" t="str">
        <f>_xlfn.XLOOKUP(A281,FACTURA!A:A,FACTURA!E:E,"NO PLANIFICADO")</f>
        <v>NO PLANIFICADO</v>
      </c>
      <c r="I281" s="19" t="str">
        <f t="shared" si="4"/>
        <v>NO</v>
      </c>
      <c r="K281" s="23" t="s">
        <v>94</v>
      </c>
      <c r="N281" s="20" t="str">
        <f>_xlfn.XLOOKUP(A281,FACTURA!A:A,FACTURA!F:F,"NO APLICA")</f>
        <v>NO APLICA</v>
      </c>
    </row>
    <row r="282" spans="8:14" x14ac:dyDescent="0.25">
      <c r="H282" s="19" t="str">
        <f>_xlfn.XLOOKUP(A282,FACTURA!A:A,FACTURA!E:E,"NO PLANIFICADO")</f>
        <v>NO PLANIFICADO</v>
      </c>
      <c r="I282" s="19" t="str">
        <f t="shared" si="4"/>
        <v>NO</v>
      </c>
      <c r="K282" s="23" t="s">
        <v>94</v>
      </c>
      <c r="N282" s="20" t="str">
        <f>_xlfn.XLOOKUP(A282,FACTURA!A:A,FACTURA!F:F,"NO APLICA")</f>
        <v>NO APLICA</v>
      </c>
    </row>
    <row r="283" spans="8:14" x14ac:dyDescent="0.25">
      <c r="H283" s="19" t="str">
        <f>_xlfn.XLOOKUP(A283,FACTURA!A:A,FACTURA!E:E,"NO PLANIFICADO")</f>
        <v>NO PLANIFICADO</v>
      </c>
      <c r="I283" s="19" t="str">
        <f t="shared" si="4"/>
        <v>NO</v>
      </c>
      <c r="K283" s="23" t="s">
        <v>94</v>
      </c>
      <c r="N283" s="20" t="str">
        <f>_xlfn.XLOOKUP(A283,FACTURA!A:A,FACTURA!F:F,"NO APLICA")</f>
        <v>NO APLICA</v>
      </c>
    </row>
    <row r="284" spans="8:14" x14ac:dyDescent="0.25">
      <c r="H284" s="19" t="str">
        <f>_xlfn.XLOOKUP(A284,FACTURA!A:A,FACTURA!E:E,"NO PLANIFICADO")</f>
        <v>NO PLANIFICADO</v>
      </c>
      <c r="I284" s="19" t="str">
        <f t="shared" si="4"/>
        <v>NO</v>
      </c>
      <c r="K284" s="23" t="s">
        <v>94</v>
      </c>
      <c r="N284" s="20" t="str">
        <f>_xlfn.XLOOKUP(A284,FACTURA!A:A,FACTURA!F:F,"NO APLICA")</f>
        <v>NO APLICA</v>
      </c>
    </row>
    <row r="285" spans="8:14" x14ac:dyDescent="0.25">
      <c r="H285" s="19" t="str">
        <f>_xlfn.XLOOKUP(A285,FACTURA!A:A,FACTURA!E:E,"NO PLANIFICADO")</f>
        <v>NO PLANIFICADO</v>
      </c>
      <c r="I285" s="19" t="str">
        <f t="shared" si="4"/>
        <v>NO</v>
      </c>
      <c r="K285" s="23" t="s">
        <v>94</v>
      </c>
      <c r="N285" s="20">
        <f ca="1">_xlfn.XLOOKUP(A285,FACTURA!A:A,FACTURA!F:F,"NO APLICA")</f>
        <v>46102</v>
      </c>
    </row>
    <row r="286" spans="8:14" x14ac:dyDescent="0.25">
      <c r="H286" s="19" t="str">
        <f>_xlfn.XLOOKUP(A286,FACTURA!A:A,FACTURA!E:E,"NO PLANIFICADO")</f>
        <v>NO PLANIFICADO</v>
      </c>
      <c r="I286" s="19" t="str">
        <f t="shared" si="4"/>
        <v>NO</v>
      </c>
      <c r="K286" s="23" t="s">
        <v>94</v>
      </c>
      <c r="N286" s="20">
        <f ca="1">_xlfn.XLOOKUP(A286,FACTURA!A:A,FACTURA!F:F,"NO APLICA")</f>
        <v>46102</v>
      </c>
    </row>
    <row r="287" spans="8:14" x14ac:dyDescent="0.25">
      <c r="H287" s="19" t="str">
        <f>_xlfn.XLOOKUP(A287,FACTURA!A:A,FACTURA!E:E,"NO PLANIFICADO")</f>
        <v>NO PLANIFICADO</v>
      </c>
      <c r="I287" s="19" t="str">
        <f t="shared" si="4"/>
        <v>NO</v>
      </c>
      <c r="K287" s="23" t="s">
        <v>94</v>
      </c>
      <c r="N287" s="20" t="str">
        <f>_xlfn.XLOOKUP(A287,FACTURA!A:A,FACTURA!F:F,"NO APLICA")</f>
        <v>NO APLICA</v>
      </c>
    </row>
    <row r="288" spans="8:14" x14ac:dyDescent="0.25">
      <c r="H288" s="19" t="str">
        <f>_xlfn.XLOOKUP(A288,FACTURA!A:A,FACTURA!E:E,"NO PLANIFICADO")</f>
        <v>NO PLANIFICADO</v>
      </c>
      <c r="I288" s="19" t="str">
        <f t="shared" si="4"/>
        <v>NO</v>
      </c>
      <c r="K288" s="23" t="s">
        <v>94</v>
      </c>
      <c r="N288" s="20" t="str">
        <f>_xlfn.XLOOKUP(A288,FACTURA!A:A,FACTURA!F:F,"NO APLICA")</f>
        <v>NO APLICA</v>
      </c>
    </row>
    <row r="289" spans="8:14" x14ac:dyDescent="0.25">
      <c r="H289" s="19" t="str">
        <f ca="1">_xlfn.XLOOKUP(A289,FACTURA!A:A,FACTURA!E:E,"NO PLANIFICADO")</f>
        <v>PLANIFICADA</v>
      </c>
      <c r="I289" s="19" t="str">
        <f t="shared" si="4"/>
        <v>NO</v>
      </c>
      <c r="K289" s="23" t="s">
        <v>94</v>
      </c>
      <c r="N289" s="20" t="str">
        <f>_xlfn.XLOOKUP(A289,FACTURA!A:A,FACTURA!F:F,"NO APLICA")</f>
        <v>NO APLICA</v>
      </c>
    </row>
    <row r="290" spans="8:14" x14ac:dyDescent="0.25">
      <c r="H290" s="19" t="str">
        <f ca="1">_xlfn.XLOOKUP(A290,FACTURA!A:A,FACTURA!E:E,"NO PLANIFICADO")</f>
        <v>PLANIFICADA</v>
      </c>
      <c r="I290" s="19" t="str">
        <f t="shared" si="4"/>
        <v>NO</v>
      </c>
      <c r="K290" s="23" t="s">
        <v>94</v>
      </c>
      <c r="N290" s="20" t="str">
        <f>_xlfn.XLOOKUP(A290,FACTURA!A:A,FACTURA!F:F,"NO APLICA")</f>
        <v>NO APLICA</v>
      </c>
    </row>
    <row r="291" spans="8:14" x14ac:dyDescent="0.25">
      <c r="H291" s="19" t="str">
        <f>_xlfn.XLOOKUP(A291,FACTURA!A:A,FACTURA!E:E,"NO PLANIFICADO")</f>
        <v>NO PLANIFICADO</v>
      </c>
      <c r="I291" s="19" t="str">
        <f t="shared" si="4"/>
        <v>NO</v>
      </c>
      <c r="K291" s="23" t="s">
        <v>94</v>
      </c>
      <c r="N291" s="20" t="str">
        <f>_xlfn.XLOOKUP(A291,FACTURA!A:A,FACTURA!F:F,"NO APLICA")</f>
        <v>NO APLICA</v>
      </c>
    </row>
    <row r="292" spans="8:14" x14ac:dyDescent="0.25">
      <c r="H292" s="19" t="str">
        <f>_xlfn.XLOOKUP(A292,FACTURA!A:A,FACTURA!E:E,"NO PLANIFICADO")</f>
        <v>NO PLANIFICADO</v>
      </c>
      <c r="I292" s="19" t="str">
        <f t="shared" si="4"/>
        <v>NO</v>
      </c>
      <c r="K292" s="23" t="s">
        <v>94</v>
      </c>
      <c r="N292" s="20" t="str">
        <f>_xlfn.XLOOKUP(A292,FACTURA!A:A,FACTURA!F:F,"NO APLICA")</f>
        <v>NO APLICA</v>
      </c>
    </row>
    <row r="293" spans="8:14" x14ac:dyDescent="0.25">
      <c r="H293" s="19" t="str">
        <f ca="1">_xlfn.XLOOKUP(A293,FACTURA!A:A,FACTURA!E:E,"NO PLANIFICADO")</f>
        <v>PLANIFICADA</v>
      </c>
      <c r="I293" s="19" t="str">
        <f t="shared" si="4"/>
        <v>NO</v>
      </c>
      <c r="K293" s="23" t="s">
        <v>94</v>
      </c>
      <c r="N293" s="20" t="str">
        <f>_xlfn.XLOOKUP(A293,FACTURA!A:A,FACTURA!F:F,"NO APLICA")</f>
        <v>NO APLICA</v>
      </c>
    </row>
    <row r="294" spans="8:14" x14ac:dyDescent="0.25">
      <c r="H294" s="19" t="str">
        <f ca="1">_xlfn.XLOOKUP(A294,FACTURA!A:A,FACTURA!E:E,"NO PLANIFICADO")</f>
        <v>PLANIFICADA</v>
      </c>
      <c r="I294" s="19" t="str">
        <f t="shared" si="4"/>
        <v>NO</v>
      </c>
      <c r="K294" s="23" t="s">
        <v>94</v>
      </c>
      <c r="N294" s="20" t="str">
        <f>_xlfn.XLOOKUP(A294,FACTURA!A:A,FACTURA!F:F,"NO APLICA")</f>
        <v>NO APLICA</v>
      </c>
    </row>
    <row r="295" spans="8:14" x14ac:dyDescent="0.25">
      <c r="H295" s="19" t="str">
        <f>_xlfn.XLOOKUP(A295,FACTURA!A:A,FACTURA!E:E,"NO PLANIFICADO")</f>
        <v>NO PLANIFICADO</v>
      </c>
      <c r="I295" s="19" t="str">
        <f t="shared" si="4"/>
        <v>NO</v>
      </c>
      <c r="K295" s="23" t="s">
        <v>94</v>
      </c>
      <c r="N295" s="20" t="str">
        <f>_xlfn.XLOOKUP(A295,FACTURA!A:A,FACTURA!F:F,"NO APLICA")</f>
        <v>NO APLICA</v>
      </c>
    </row>
    <row r="296" spans="8:14" x14ac:dyDescent="0.25">
      <c r="H296" s="19" t="str">
        <f>_xlfn.XLOOKUP(A296,FACTURA!A:A,FACTURA!E:E,"NO PLANIFICADO")</f>
        <v>NO PLANIFICADO</v>
      </c>
      <c r="I296" s="19" t="str">
        <f t="shared" si="4"/>
        <v>NO</v>
      </c>
      <c r="K296" s="23" t="s">
        <v>94</v>
      </c>
      <c r="N296" s="20" t="str">
        <f>_xlfn.XLOOKUP(A296,FACTURA!A:A,FACTURA!F:F,"NO APLICA")</f>
        <v>NO APLICA</v>
      </c>
    </row>
    <row r="297" spans="8:14" x14ac:dyDescent="0.25">
      <c r="H297" s="19" t="str">
        <f>_xlfn.XLOOKUP(A297,FACTURA!A:A,FACTURA!E:E,"NO PLANIFICADO")</f>
        <v>NO PLANIFICADO</v>
      </c>
      <c r="I297" s="19" t="str">
        <f t="shared" si="4"/>
        <v>NO</v>
      </c>
      <c r="K297" s="23" t="s">
        <v>94</v>
      </c>
      <c r="N297" s="20">
        <f ca="1">_xlfn.XLOOKUP(A297,FACTURA!A:A,FACTURA!F:F,"NO APLICA")</f>
        <v>46102</v>
      </c>
    </row>
    <row r="298" spans="8:14" x14ac:dyDescent="0.25">
      <c r="H298" s="19" t="str">
        <f>_xlfn.XLOOKUP(A298,FACTURA!A:A,FACTURA!E:E,"NO PLANIFICADO")</f>
        <v>NO PLANIFICADO</v>
      </c>
      <c r="I298" s="19" t="str">
        <f t="shared" si="4"/>
        <v>NO</v>
      </c>
      <c r="K298" s="23" t="s">
        <v>94</v>
      </c>
      <c r="N298" s="20">
        <f ca="1">_xlfn.XLOOKUP(A298,FACTURA!A:A,FACTURA!F:F,"NO APLICA")</f>
        <v>46102</v>
      </c>
    </row>
    <row r="299" spans="8:14" x14ac:dyDescent="0.25">
      <c r="H299" s="19" t="str">
        <f>_xlfn.XLOOKUP(A299,FACTURA!A:A,FACTURA!E:E,"NO PLANIFICADO")</f>
        <v>NO PLANIFICADO</v>
      </c>
      <c r="I299" s="19" t="str">
        <f t="shared" si="4"/>
        <v>NO</v>
      </c>
      <c r="K299" s="23" t="s">
        <v>94</v>
      </c>
      <c r="N299" s="20" t="str">
        <f>_xlfn.XLOOKUP(A299,FACTURA!A:A,FACTURA!F:F,"NO APLICA")</f>
        <v>NO APLICA</v>
      </c>
    </row>
    <row r="300" spans="8:14" x14ac:dyDescent="0.25">
      <c r="H300" s="19" t="str">
        <f>_xlfn.XLOOKUP(A300,FACTURA!A:A,FACTURA!E:E,"NO PLANIFICADO")</f>
        <v>NO PLANIFICADO</v>
      </c>
      <c r="I300" s="19" t="str">
        <f t="shared" si="4"/>
        <v>NO</v>
      </c>
      <c r="K300" s="23" t="s">
        <v>94</v>
      </c>
      <c r="N300" s="20" t="str">
        <f>_xlfn.XLOOKUP(A300,FACTURA!A:A,FACTURA!F:F,"NO APLICA")</f>
        <v>NO APLICA</v>
      </c>
    </row>
    <row r="301" spans="8:14" x14ac:dyDescent="0.25">
      <c r="H301" s="19" t="str">
        <f ca="1">_xlfn.XLOOKUP(A301,FACTURA!A:A,FACTURA!E:E,"NO PLANIFICADO")</f>
        <v>PLANIFICADA</v>
      </c>
      <c r="I301" s="19" t="str">
        <f t="shared" si="4"/>
        <v>NO</v>
      </c>
      <c r="K301" s="23" t="s">
        <v>94</v>
      </c>
      <c r="N301" s="20" t="str">
        <f>_xlfn.XLOOKUP(A301,FACTURA!A:A,FACTURA!F:F,"NO APLICA")</f>
        <v>NO APLICA</v>
      </c>
    </row>
    <row r="302" spans="8:14" x14ac:dyDescent="0.25">
      <c r="H302" s="19" t="str">
        <f ca="1">_xlfn.XLOOKUP(A302,FACTURA!A:A,FACTURA!E:E,"NO PLANIFICADO")</f>
        <v>PLANIFICADA</v>
      </c>
      <c r="I302" s="19" t="str">
        <f t="shared" si="4"/>
        <v>NO</v>
      </c>
      <c r="K302" s="23" t="s">
        <v>94</v>
      </c>
      <c r="N302" s="20" t="str">
        <f>_xlfn.XLOOKUP(A302,FACTURA!A:A,FACTURA!F:F,"NO APLICA")</f>
        <v>NO APLICA</v>
      </c>
    </row>
    <row r="303" spans="8:14" x14ac:dyDescent="0.25">
      <c r="H303" s="19" t="str">
        <f>_xlfn.XLOOKUP(A303,FACTURA!A:A,FACTURA!E:E,"NO PLANIFICADO")</f>
        <v>NO PLANIFICADO</v>
      </c>
      <c r="I303" s="19" t="str">
        <f t="shared" si="4"/>
        <v>NO</v>
      </c>
      <c r="K303" s="23" t="s">
        <v>94</v>
      </c>
      <c r="N303" s="20" t="str">
        <f>_xlfn.XLOOKUP(A303,FACTURA!A:A,FACTURA!F:F,"NO APLICA")</f>
        <v>NO APLICA</v>
      </c>
    </row>
    <row r="304" spans="8:14" x14ac:dyDescent="0.25">
      <c r="H304" s="19" t="str">
        <f>_xlfn.XLOOKUP(A304,FACTURA!A:A,FACTURA!E:E,"NO PLANIFICADO")</f>
        <v>NO PLANIFICADO</v>
      </c>
      <c r="I304" s="19" t="str">
        <f t="shared" si="4"/>
        <v>NO</v>
      </c>
      <c r="K304" s="23" t="s">
        <v>94</v>
      </c>
      <c r="N304" s="20" t="str">
        <f>_xlfn.XLOOKUP(A304,FACTURA!A:A,FACTURA!F:F,"NO APLICA")</f>
        <v>NO APLICA</v>
      </c>
    </row>
    <row r="305" spans="8:14" x14ac:dyDescent="0.25">
      <c r="H305" s="19" t="str">
        <f>_xlfn.XLOOKUP(A305,FACTURA!A:A,FACTURA!E:E,"NO PLANIFICADO")</f>
        <v>NO PLANIFICADO</v>
      </c>
      <c r="I305" s="19" t="str">
        <f t="shared" si="4"/>
        <v>NO</v>
      </c>
      <c r="K305" s="23" t="s">
        <v>94</v>
      </c>
      <c r="N305" s="20" t="str">
        <f>_xlfn.XLOOKUP(A305,FACTURA!A:A,FACTURA!F:F,"NO APLICA")</f>
        <v>NO APLICA</v>
      </c>
    </row>
    <row r="306" spans="8:14" x14ac:dyDescent="0.25">
      <c r="H306" s="19" t="str">
        <f>_xlfn.XLOOKUP(A306,FACTURA!A:A,FACTURA!E:E,"NO PLANIFICADO")</f>
        <v>NO PLANIFICADO</v>
      </c>
      <c r="I306" s="19" t="str">
        <f t="shared" si="4"/>
        <v>NO</v>
      </c>
      <c r="K306" s="23" t="s">
        <v>94</v>
      </c>
      <c r="N306" s="20" t="str">
        <f>_xlfn.XLOOKUP(A306,FACTURA!A:A,FACTURA!F:F,"NO APLICA")</f>
        <v>NO APLICA</v>
      </c>
    </row>
    <row r="307" spans="8:14" x14ac:dyDescent="0.25">
      <c r="H307" s="19" t="str">
        <f>_xlfn.XLOOKUP(A307,FACTURA!A:A,FACTURA!E:E,"NO PLANIFICADO")</f>
        <v>NO PLANIFICADO</v>
      </c>
      <c r="I307" s="19" t="str">
        <f t="shared" si="4"/>
        <v>NO</v>
      </c>
      <c r="K307" s="23" t="s">
        <v>94</v>
      </c>
      <c r="N307" s="20" t="str">
        <f>_xlfn.XLOOKUP(A307,FACTURA!A:A,FACTURA!F:F,"NO APLICA")</f>
        <v>NO APLICA</v>
      </c>
    </row>
    <row r="308" spans="8:14" x14ac:dyDescent="0.25">
      <c r="H308" s="19" t="str">
        <f>_xlfn.XLOOKUP(A308,FACTURA!A:A,FACTURA!E:E,"NO PLANIFICADO")</f>
        <v>NO PLANIFICADO</v>
      </c>
      <c r="I308" s="19" t="str">
        <f t="shared" si="4"/>
        <v>NO</v>
      </c>
      <c r="K308" s="23" t="s">
        <v>94</v>
      </c>
      <c r="N308" s="20" t="str">
        <f>_xlfn.XLOOKUP(A308,FACTURA!A:A,FACTURA!F:F,"NO APLICA")</f>
        <v>NO APLICA</v>
      </c>
    </row>
    <row r="309" spans="8:14" x14ac:dyDescent="0.25">
      <c r="H309" s="19" t="str">
        <f>_xlfn.XLOOKUP(A309,FACTURA!A:A,FACTURA!E:E,"NO PLANIFICADO")</f>
        <v>NO PLANIFICADO</v>
      </c>
      <c r="I309" s="19" t="str">
        <f t="shared" si="4"/>
        <v>NO</v>
      </c>
      <c r="K309" s="23" t="s">
        <v>94</v>
      </c>
      <c r="N309" s="20" t="str">
        <f>_xlfn.XLOOKUP(A309,FACTURA!A:A,FACTURA!F:F,"NO APLICA")</f>
        <v>NO APLICA</v>
      </c>
    </row>
    <row r="310" spans="8:14" x14ac:dyDescent="0.25">
      <c r="H310" s="19" t="str">
        <f>_xlfn.XLOOKUP(A310,FACTURA!A:A,FACTURA!E:E,"NO PLANIFICADO")</f>
        <v>NO PLANIFICADO</v>
      </c>
      <c r="I310" s="19" t="str">
        <f t="shared" si="4"/>
        <v>NO</v>
      </c>
      <c r="K310" s="23" t="s">
        <v>94</v>
      </c>
      <c r="N310" s="20" t="str">
        <f>_xlfn.XLOOKUP(A310,FACTURA!A:A,FACTURA!F:F,"NO APLICA")</f>
        <v>NO APLICA</v>
      </c>
    </row>
    <row r="311" spans="8:14" x14ac:dyDescent="0.25">
      <c r="H311" s="19" t="str">
        <f>_xlfn.XLOOKUP(A311,FACTURA!A:A,FACTURA!E:E,"NO PLANIFICADO")</f>
        <v>NO PLANIFICADO</v>
      </c>
      <c r="I311" s="19" t="str">
        <f t="shared" si="4"/>
        <v>NO</v>
      </c>
      <c r="K311" s="23" t="s">
        <v>94</v>
      </c>
      <c r="N311" s="20" t="str">
        <f>_xlfn.XLOOKUP(A311,FACTURA!A:A,FACTURA!F:F,"NO APLICA")</f>
        <v>NO APLICA</v>
      </c>
    </row>
    <row r="312" spans="8:14" x14ac:dyDescent="0.25">
      <c r="H312" s="19" t="str">
        <f>_xlfn.XLOOKUP(A312,FACTURA!A:A,FACTURA!E:E,"NO PLANIFICADO")</f>
        <v>NO PLANIFICADO</v>
      </c>
      <c r="I312" s="19" t="str">
        <f t="shared" si="4"/>
        <v>NO</v>
      </c>
      <c r="K312" s="23" t="s">
        <v>94</v>
      </c>
      <c r="N312" s="20" t="str">
        <f>_xlfn.XLOOKUP(A312,FACTURA!A:A,FACTURA!F:F,"NO APLICA")</f>
        <v>NO APLICA</v>
      </c>
    </row>
    <row r="313" spans="8:14" x14ac:dyDescent="0.25">
      <c r="H313" s="19" t="str">
        <f ca="1">_xlfn.XLOOKUP(A313,FACTURA!A:A,FACTURA!E:E,"NO PLANIFICADO")</f>
        <v>PLANIFICADA</v>
      </c>
      <c r="I313" s="19" t="str">
        <f t="shared" si="4"/>
        <v>NO</v>
      </c>
      <c r="K313" s="23" t="s">
        <v>94</v>
      </c>
      <c r="N313" s="20" t="str">
        <f>_xlfn.XLOOKUP(A313,FACTURA!A:A,FACTURA!F:F,"NO APLICA")</f>
        <v>NO APLICA</v>
      </c>
    </row>
    <row r="314" spans="8:14" x14ac:dyDescent="0.25">
      <c r="H314" s="19" t="str">
        <f>_xlfn.XLOOKUP(A314,FACTURA!A:A,FACTURA!E:E,"NO PLANIFICADO")</f>
        <v>NO PLANIFICADO</v>
      </c>
      <c r="I314" s="19" t="str">
        <f t="shared" si="4"/>
        <v>NO</v>
      </c>
      <c r="K314" s="23" t="s">
        <v>94</v>
      </c>
      <c r="N314" s="20" t="str">
        <f>_xlfn.XLOOKUP(A314,FACTURA!A:A,FACTURA!F:F,"NO APLICA")</f>
        <v>NO APLICA</v>
      </c>
    </row>
    <row r="315" spans="8:14" x14ac:dyDescent="0.25">
      <c r="H315" s="19" t="str">
        <f>_xlfn.XLOOKUP(A315,FACTURA!A:A,FACTURA!E:E,"NO PLANIFICADO")</f>
        <v>NO PLANIFICADO</v>
      </c>
      <c r="I315" s="19" t="str">
        <f t="shared" si="4"/>
        <v>NO</v>
      </c>
      <c r="K315" s="23" t="s">
        <v>94</v>
      </c>
      <c r="N315" s="20">
        <f ca="1">_xlfn.XLOOKUP(A315,FACTURA!A:A,FACTURA!F:F,"NO APLICA")</f>
        <v>46102</v>
      </c>
    </row>
    <row r="316" spans="8:14" x14ac:dyDescent="0.25">
      <c r="H316" s="19" t="str">
        <f>_xlfn.XLOOKUP(A316,FACTURA!A:A,FACTURA!E:E,"NO PLANIFICADO")</f>
        <v>NO PLANIFICADO</v>
      </c>
      <c r="I316" s="19" t="str">
        <f t="shared" si="4"/>
        <v>NO</v>
      </c>
      <c r="K316" s="23" t="s">
        <v>94</v>
      </c>
      <c r="N316" s="20" t="str">
        <f>_xlfn.XLOOKUP(A316,FACTURA!A:A,FACTURA!F:F,"NO APLICA")</f>
        <v>NO APLICA</v>
      </c>
    </row>
    <row r="317" spans="8:14" x14ac:dyDescent="0.25">
      <c r="H317" s="19" t="str">
        <f>_xlfn.XLOOKUP(A317,FACTURA!A:A,FACTURA!E:E,"NO PLANIFICADO")</f>
        <v>NO PLANIFICADO</v>
      </c>
      <c r="I317" s="19" t="str">
        <f t="shared" si="4"/>
        <v>NO</v>
      </c>
      <c r="K317" s="23" t="s">
        <v>94</v>
      </c>
      <c r="N317" s="20" t="str">
        <f>_xlfn.XLOOKUP(A317,FACTURA!A:A,FACTURA!F:F,"NO APLICA")</f>
        <v>NO APLICA</v>
      </c>
    </row>
    <row r="318" spans="8:14" x14ac:dyDescent="0.25">
      <c r="H318" s="19" t="str">
        <f>_xlfn.XLOOKUP(A318,FACTURA!A:A,FACTURA!E:E,"NO PLANIFICADO")</f>
        <v>NO PLANIFICADO</v>
      </c>
      <c r="I318" s="19" t="str">
        <f t="shared" si="4"/>
        <v>NO</v>
      </c>
      <c r="K318" s="23" t="s">
        <v>94</v>
      </c>
      <c r="N318" s="20" t="str">
        <f>_xlfn.XLOOKUP(A318,FACTURA!A:A,FACTURA!F:F,"NO APLICA")</f>
        <v>NO APLICA</v>
      </c>
    </row>
    <row r="319" spans="8:14" x14ac:dyDescent="0.25">
      <c r="H319" s="19" t="str">
        <f>_xlfn.XLOOKUP(A319,FACTURA!A:A,FACTURA!E:E,"NO PLANIFICADO")</f>
        <v>NO PLANIFICADO</v>
      </c>
      <c r="I319" s="19" t="str">
        <f t="shared" si="4"/>
        <v>NO</v>
      </c>
      <c r="K319" s="23" t="s">
        <v>94</v>
      </c>
      <c r="N319" s="20">
        <f ca="1">_xlfn.XLOOKUP(A319,FACTURA!A:A,FACTURA!F:F,"NO APLICA")</f>
        <v>46102</v>
      </c>
    </row>
    <row r="320" spans="8:14" x14ac:dyDescent="0.25">
      <c r="H320" s="19" t="str">
        <f>_xlfn.XLOOKUP(A320,FACTURA!A:A,FACTURA!E:E,"NO PLANIFICADO")</f>
        <v>NO PLANIFICADO</v>
      </c>
      <c r="I320" s="19" t="str">
        <f t="shared" si="4"/>
        <v>NO</v>
      </c>
      <c r="K320" s="23" t="s">
        <v>94</v>
      </c>
      <c r="N320" s="20" t="str">
        <f>_xlfn.XLOOKUP(A320,FACTURA!A:A,FACTURA!F:F,"NO APLICA")</f>
        <v>NO APLICA</v>
      </c>
    </row>
    <row r="321" spans="8:14" x14ac:dyDescent="0.25">
      <c r="H321" s="19" t="str">
        <f>_xlfn.XLOOKUP(A321,FACTURA!A:A,FACTURA!E:E,"NO PLANIFICADO")</f>
        <v>NO PLANIFICADO</v>
      </c>
      <c r="I321" s="19" t="str">
        <f t="shared" si="4"/>
        <v>NO</v>
      </c>
      <c r="K321" s="23" t="s">
        <v>94</v>
      </c>
      <c r="N321" s="20" t="str">
        <f>_xlfn.XLOOKUP(A321,FACTURA!A:A,FACTURA!F:F,"NO APLICA")</f>
        <v>NO APLICA</v>
      </c>
    </row>
    <row r="322" spans="8:14" x14ac:dyDescent="0.25">
      <c r="H322" s="19" t="str">
        <f>_xlfn.XLOOKUP(A322,FACTURA!A:A,FACTURA!E:E,"NO PLANIFICADO")</f>
        <v>NO PLANIFICADO</v>
      </c>
      <c r="I322" s="19" t="str">
        <f t="shared" ref="I322:I385" si="5">IF(OR(E322="V.TECNICA",E322="PROYECTO",E322="IMPLEMENTACION"),"SI","NO")</f>
        <v>NO</v>
      </c>
      <c r="K322" s="23" t="s">
        <v>94</v>
      </c>
      <c r="N322" s="20" t="str">
        <f>_xlfn.XLOOKUP(A322,FACTURA!A:A,FACTURA!F:F,"NO APLICA")</f>
        <v>NO APLICA</v>
      </c>
    </row>
    <row r="323" spans="8:14" x14ac:dyDescent="0.25">
      <c r="H323" s="19" t="str">
        <f>_xlfn.XLOOKUP(A323,FACTURA!A:A,FACTURA!E:E,"NO PLANIFICADO")</f>
        <v>NO PLANIFICADO</v>
      </c>
      <c r="I323" s="19" t="str">
        <f t="shared" si="5"/>
        <v>NO</v>
      </c>
      <c r="K323" s="23" t="s">
        <v>94</v>
      </c>
      <c r="N323" s="20" t="str">
        <f>_xlfn.XLOOKUP(A323,FACTURA!A:A,FACTURA!F:F,"NO APLICA")</f>
        <v>NO APLICA</v>
      </c>
    </row>
    <row r="324" spans="8:14" x14ac:dyDescent="0.25">
      <c r="H324" s="19" t="str">
        <f>_xlfn.XLOOKUP(A324,FACTURA!A:A,FACTURA!E:E,"NO PLANIFICADO")</f>
        <v>NO PLANIFICADO</v>
      </c>
      <c r="I324" s="19" t="str">
        <f t="shared" si="5"/>
        <v>NO</v>
      </c>
      <c r="K324" s="23" t="s">
        <v>94</v>
      </c>
      <c r="N324" s="20" t="str">
        <f>_xlfn.XLOOKUP(A324,FACTURA!A:A,FACTURA!F:F,"NO APLICA")</f>
        <v>NO APLICA</v>
      </c>
    </row>
    <row r="325" spans="8:14" x14ac:dyDescent="0.25">
      <c r="H325" s="19" t="str">
        <f>_xlfn.XLOOKUP(A325,FACTURA!A:A,FACTURA!E:E,"NO PLANIFICADO")</f>
        <v>NO PLANIFICADO</v>
      </c>
      <c r="I325" s="19" t="str">
        <f t="shared" si="5"/>
        <v>NO</v>
      </c>
      <c r="K325" s="23" t="s">
        <v>94</v>
      </c>
      <c r="N325" s="20" t="str">
        <f>_xlfn.XLOOKUP(A325,FACTURA!A:A,FACTURA!F:F,"NO APLICA")</f>
        <v>NO APLICA</v>
      </c>
    </row>
    <row r="326" spans="8:14" x14ac:dyDescent="0.25">
      <c r="H326" s="19" t="str">
        <f>_xlfn.XLOOKUP(A326,FACTURA!A:A,FACTURA!E:E,"NO PLANIFICADO")</f>
        <v>NO PLANIFICADO</v>
      </c>
      <c r="I326" s="19" t="str">
        <f t="shared" si="5"/>
        <v>NO</v>
      </c>
      <c r="K326" s="23" t="s">
        <v>94</v>
      </c>
      <c r="N326" s="20" t="str">
        <f>_xlfn.XLOOKUP(A326,FACTURA!A:A,FACTURA!F:F,"NO APLICA")</f>
        <v>NO APLICA</v>
      </c>
    </row>
    <row r="327" spans="8:14" x14ac:dyDescent="0.25">
      <c r="H327" s="19" t="str">
        <f ca="1">_xlfn.XLOOKUP(A327,FACTURA!A:A,FACTURA!E:E,"NO PLANIFICADO")</f>
        <v>PLANIFICADA</v>
      </c>
      <c r="I327" s="19" t="str">
        <f t="shared" si="5"/>
        <v>NO</v>
      </c>
      <c r="K327" s="23" t="s">
        <v>94</v>
      </c>
      <c r="N327" s="20" t="str">
        <f>_xlfn.XLOOKUP(A327,FACTURA!A:A,FACTURA!F:F,"NO APLICA")</f>
        <v>NO APLICA</v>
      </c>
    </row>
    <row r="328" spans="8:14" x14ac:dyDescent="0.25">
      <c r="H328" s="19" t="str">
        <f>_xlfn.XLOOKUP(A328,FACTURA!A:A,FACTURA!E:E,"NO PLANIFICADO")</f>
        <v>NO PLANIFICADO</v>
      </c>
      <c r="I328" s="19" t="str">
        <f t="shared" si="5"/>
        <v>NO</v>
      </c>
      <c r="K328" s="23" t="s">
        <v>94</v>
      </c>
      <c r="N328" s="20" t="str">
        <f>_xlfn.XLOOKUP(A328,FACTURA!A:A,FACTURA!F:F,"NO APLICA")</f>
        <v>NO APLICA</v>
      </c>
    </row>
    <row r="329" spans="8:14" x14ac:dyDescent="0.25">
      <c r="H329" s="19" t="str">
        <f>_xlfn.XLOOKUP(A329,FACTURA!A:A,FACTURA!E:E,"NO PLANIFICADO")</f>
        <v>NO PLANIFICADO</v>
      </c>
      <c r="I329" s="19" t="str">
        <f t="shared" si="5"/>
        <v>NO</v>
      </c>
      <c r="K329" s="23" t="s">
        <v>94</v>
      </c>
      <c r="N329" s="20" t="str">
        <f>_xlfn.XLOOKUP(A329,FACTURA!A:A,FACTURA!F:F,"NO APLICA")</f>
        <v>NO APLICA</v>
      </c>
    </row>
    <row r="330" spans="8:14" x14ac:dyDescent="0.25">
      <c r="H330" s="19" t="str">
        <f>_xlfn.XLOOKUP(A330,FACTURA!A:A,FACTURA!E:E,"NO PLANIFICADO")</f>
        <v>NO PLANIFICADO</v>
      </c>
      <c r="I330" s="19" t="str">
        <f t="shared" si="5"/>
        <v>NO</v>
      </c>
      <c r="K330" s="23" t="s">
        <v>94</v>
      </c>
      <c r="N330" s="20" t="str">
        <f>_xlfn.XLOOKUP(A330,FACTURA!A:A,FACTURA!F:F,"NO APLICA")</f>
        <v>NO APLICA</v>
      </c>
    </row>
    <row r="331" spans="8:14" x14ac:dyDescent="0.25">
      <c r="H331" s="19" t="str">
        <f>_xlfn.XLOOKUP(A331,FACTURA!A:A,FACTURA!E:E,"NO PLANIFICADO")</f>
        <v>NO PLANIFICADO</v>
      </c>
      <c r="I331" s="19" t="str">
        <f t="shared" si="5"/>
        <v>NO</v>
      </c>
      <c r="K331" s="23" t="s">
        <v>94</v>
      </c>
      <c r="N331" s="20" t="str">
        <f>_xlfn.XLOOKUP(A331,FACTURA!A:A,FACTURA!F:F,"NO APLICA")</f>
        <v>NO APLICA</v>
      </c>
    </row>
    <row r="332" spans="8:14" x14ac:dyDescent="0.25">
      <c r="H332" s="19" t="str">
        <f>_xlfn.XLOOKUP(A332,FACTURA!A:A,FACTURA!E:E,"NO PLANIFICADO")</f>
        <v>NO PLANIFICADO</v>
      </c>
      <c r="I332" s="19" t="str">
        <f t="shared" si="5"/>
        <v>NO</v>
      </c>
      <c r="K332" s="23" t="s">
        <v>94</v>
      </c>
      <c r="N332" s="20" t="str">
        <f>_xlfn.XLOOKUP(A332,FACTURA!A:A,FACTURA!F:F,"NO APLICA")</f>
        <v>NO APLICA</v>
      </c>
    </row>
    <row r="333" spans="8:14" x14ac:dyDescent="0.25">
      <c r="H333" s="19" t="str">
        <f>_xlfn.XLOOKUP(A333,FACTURA!A:A,FACTURA!E:E,"NO PLANIFICADO")</f>
        <v>NO PLANIFICADO</v>
      </c>
      <c r="I333" s="19" t="str">
        <f t="shared" si="5"/>
        <v>NO</v>
      </c>
      <c r="K333" s="23" t="s">
        <v>94</v>
      </c>
      <c r="N333" s="20">
        <f ca="1">_xlfn.XLOOKUP(A333,FACTURA!A:A,FACTURA!F:F,"NO APLICA")</f>
        <v>46102</v>
      </c>
    </row>
    <row r="334" spans="8:14" x14ac:dyDescent="0.25">
      <c r="H334" s="19" t="str">
        <f>_xlfn.XLOOKUP(A334,FACTURA!A:A,FACTURA!E:E,"NO PLANIFICADO")</f>
        <v>NO PLANIFICADO</v>
      </c>
      <c r="I334" s="19" t="str">
        <f t="shared" si="5"/>
        <v>NO</v>
      </c>
      <c r="K334" s="23" t="s">
        <v>94</v>
      </c>
      <c r="N334" s="20" t="str">
        <f>_xlfn.XLOOKUP(A334,FACTURA!A:A,FACTURA!F:F,"NO APLICA")</f>
        <v>NO APLICA</v>
      </c>
    </row>
    <row r="335" spans="8:14" x14ac:dyDescent="0.25">
      <c r="H335" s="19" t="str">
        <f>_xlfn.XLOOKUP(A335,FACTURA!A:A,FACTURA!E:E,"NO PLANIFICADO")</f>
        <v>NO PLANIFICADO</v>
      </c>
      <c r="I335" s="19" t="str">
        <f t="shared" si="5"/>
        <v>NO</v>
      </c>
      <c r="K335" s="23" t="s">
        <v>94</v>
      </c>
      <c r="N335" s="20">
        <f ca="1">_xlfn.XLOOKUP(A335,FACTURA!A:A,FACTURA!F:F,"NO APLICA")</f>
        <v>46102</v>
      </c>
    </row>
    <row r="336" spans="8:14" x14ac:dyDescent="0.25">
      <c r="H336" s="19" t="str">
        <f>_xlfn.XLOOKUP(A336,FACTURA!A:A,FACTURA!E:E,"NO PLANIFICADO")</f>
        <v>NO PLANIFICADO</v>
      </c>
      <c r="I336" s="19" t="str">
        <f t="shared" si="5"/>
        <v>NO</v>
      </c>
      <c r="K336" s="23" t="s">
        <v>94</v>
      </c>
      <c r="N336" s="20" t="str">
        <f>_xlfn.XLOOKUP(A336,FACTURA!A:A,FACTURA!F:F,"NO APLICA")</f>
        <v>NO APLICA</v>
      </c>
    </row>
    <row r="337" spans="8:14" x14ac:dyDescent="0.25">
      <c r="H337" s="19" t="str">
        <f ca="1">_xlfn.XLOOKUP(A337,FACTURA!A:A,FACTURA!E:E,"NO PLANIFICADO")</f>
        <v>PLANIFICADA</v>
      </c>
      <c r="I337" s="19" t="str">
        <f t="shared" si="5"/>
        <v>NO</v>
      </c>
      <c r="K337" s="23" t="s">
        <v>94</v>
      </c>
      <c r="N337" s="20" t="str">
        <f>_xlfn.XLOOKUP(A337,FACTURA!A:A,FACTURA!F:F,"NO APLICA")</f>
        <v>NO APLICA</v>
      </c>
    </row>
    <row r="338" spans="8:14" x14ac:dyDescent="0.25">
      <c r="H338" s="19" t="str">
        <f>_xlfn.XLOOKUP(A338,FACTURA!A:A,FACTURA!E:E,"NO PLANIFICADO")</f>
        <v>NO PLANIFICADO</v>
      </c>
      <c r="I338" s="19" t="str">
        <f t="shared" si="5"/>
        <v>NO</v>
      </c>
      <c r="K338" s="23" t="s">
        <v>94</v>
      </c>
      <c r="N338" s="20" t="str">
        <f>_xlfn.XLOOKUP(A338,FACTURA!A:A,FACTURA!F:F,"NO APLICA")</f>
        <v>NO APLICA</v>
      </c>
    </row>
    <row r="339" spans="8:14" x14ac:dyDescent="0.25">
      <c r="H339" s="19" t="str">
        <f>_xlfn.XLOOKUP(A339,FACTURA!A:A,FACTURA!E:E,"NO PLANIFICADO")</f>
        <v>NO PLANIFICADO</v>
      </c>
      <c r="I339" s="19" t="str">
        <f t="shared" si="5"/>
        <v>NO</v>
      </c>
      <c r="K339" s="23" t="s">
        <v>94</v>
      </c>
      <c r="N339" s="20">
        <f ca="1">_xlfn.XLOOKUP(A339,FACTURA!A:A,FACTURA!F:F,"NO APLICA")</f>
        <v>46102</v>
      </c>
    </row>
    <row r="340" spans="8:14" x14ac:dyDescent="0.25">
      <c r="H340" s="19" t="str">
        <f>_xlfn.XLOOKUP(A340,FACTURA!A:A,FACTURA!E:E,"NO PLANIFICADO")</f>
        <v>NO PLANIFICADO</v>
      </c>
      <c r="I340" s="19" t="str">
        <f t="shared" si="5"/>
        <v>NO</v>
      </c>
      <c r="K340" s="23" t="s">
        <v>94</v>
      </c>
      <c r="N340" s="20" t="str">
        <f>_xlfn.XLOOKUP(A340,FACTURA!A:A,FACTURA!F:F,"NO APLICA")</f>
        <v>NO APLICA</v>
      </c>
    </row>
    <row r="341" spans="8:14" x14ac:dyDescent="0.25">
      <c r="H341" s="19" t="str">
        <f>_xlfn.XLOOKUP(A341,FACTURA!A:A,FACTURA!E:E,"NO PLANIFICADO")</f>
        <v>NO PLANIFICADO</v>
      </c>
      <c r="I341" s="19" t="str">
        <f t="shared" si="5"/>
        <v>NO</v>
      </c>
      <c r="K341" s="23" t="s">
        <v>94</v>
      </c>
      <c r="N341" s="20" t="str">
        <f>_xlfn.XLOOKUP(A341,FACTURA!A:A,FACTURA!F:F,"NO APLICA")</f>
        <v>NO APLICA</v>
      </c>
    </row>
    <row r="342" spans="8:14" x14ac:dyDescent="0.25">
      <c r="H342" s="19" t="str">
        <f>_xlfn.XLOOKUP(A342,FACTURA!A:A,FACTURA!E:E,"NO PLANIFICADO")</f>
        <v>NO PLANIFICADO</v>
      </c>
      <c r="I342" s="19" t="str">
        <f t="shared" si="5"/>
        <v>NO</v>
      </c>
      <c r="K342" s="23" t="s">
        <v>94</v>
      </c>
      <c r="N342" s="20" t="str">
        <f>_xlfn.XLOOKUP(A342,FACTURA!A:A,FACTURA!F:F,"NO APLICA")</f>
        <v>NO APLICA</v>
      </c>
    </row>
    <row r="343" spans="8:14" x14ac:dyDescent="0.25">
      <c r="H343" s="19" t="str">
        <f>_xlfn.XLOOKUP(A343,FACTURA!A:A,FACTURA!E:E,"NO PLANIFICADO")</f>
        <v>NO PLANIFICADO</v>
      </c>
      <c r="I343" s="19" t="str">
        <f t="shared" si="5"/>
        <v>NO</v>
      </c>
      <c r="K343" s="23" t="s">
        <v>94</v>
      </c>
      <c r="N343" s="20">
        <f ca="1">_xlfn.XLOOKUP(A343,FACTURA!A:A,FACTURA!F:F,"NO APLICA")</f>
        <v>46102</v>
      </c>
    </row>
    <row r="344" spans="8:14" x14ac:dyDescent="0.25">
      <c r="H344" s="19" t="str">
        <f>_xlfn.XLOOKUP(A344,FACTURA!A:A,FACTURA!E:E,"NO PLANIFICADO")</f>
        <v>NO PLANIFICADO</v>
      </c>
      <c r="I344" s="19" t="str">
        <f t="shared" si="5"/>
        <v>NO</v>
      </c>
      <c r="K344" s="23" t="s">
        <v>94</v>
      </c>
      <c r="N344" s="20" t="str">
        <f>_xlfn.XLOOKUP(A344,FACTURA!A:A,FACTURA!F:F,"NO APLICA")</f>
        <v>NO APLICA</v>
      </c>
    </row>
    <row r="345" spans="8:14" x14ac:dyDescent="0.25">
      <c r="H345" s="19" t="str">
        <f ca="1">_xlfn.XLOOKUP(A345,FACTURA!A:A,FACTURA!E:E,"NO PLANIFICADO")</f>
        <v>PLANIFICADA</v>
      </c>
      <c r="I345" s="19" t="str">
        <f t="shared" si="5"/>
        <v>NO</v>
      </c>
      <c r="K345" s="23" t="s">
        <v>94</v>
      </c>
      <c r="N345" s="20">
        <f ca="1">_xlfn.XLOOKUP(A345,FACTURA!A:A,FACTURA!F:F,"NO APLICA")</f>
        <v>46102</v>
      </c>
    </row>
    <row r="346" spans="8:14" x14ac:dyDescent="0.25">
      <c r="H346" s="19" t="str">
        <f>_xlfn.XLOOKUP(A346,FACTURA!A:A,FACTURA!E:E,"NO PLANIFICADO")</f>
        <v>NO PLANIFICADO</v>
      </c>
      <c r="I346" s="19" t="str">
        <f t="shared" si="5"/>
        <v>NO</v>
      </c>
      <c r="K346" s="23" t="s">
        <v>94</v>
      </c>
      <c r="N346" s="20">
        <f ca="1">_xlfn.XLOOKUP(A346,FACTURA!A:A,FACTURA!F:F,"NO APLICA")</f>
        <v>46102</v>
      </c>
    </row>
    <row r="347" spans="8:14" x14ac:dyDescent="0.25">
      <c r="H347" s="19" t="str">
        <f>_xlfn.XLOOKUP(A347,FACTURA!A:A,FACTURA!E:E,"NO PLANIFICADO")</f>
        <v>NO PLANIFICADO</v>
      </c>
      <c r="I347" s="19" t="str">
        <f t="shared" si="5"/>
        <v>NO</v>
      </c>
      <c r="K347" s="23" t="s">
        <v>94</v>
      </c>
      <c r="N347" s="20" t="str">
        <f>_xlfn.XLOOKUP(A347,FACTURA!A:A,FACTURA!F:F,"NO APLICA")</f>
        <v>NO APLICA</v>
      </c>
    </row>
    <row r="348" spans="8:14" x14ac:dyDescent="0.25">
      <c r="H348" s="19" t="str">
        <f>_xlfn.XLOOKUP(A348,FACTURA!A:A,FACTURA!E:E,"NO PLANIFICADO")</f>
        <v>NO PLANIFICADO</v>
      </c>
      <c r="I348" s="19" t="str">
        <f t="shared" si="5"/>
        <v>NO</v>
      </c>
      <c r="K348" s="23" t="s">
        <v>94</v>
      </c>
      <c r="N348" s="20">
        <f ca="1">_xlfn.XLOOKUP(A348,FACTURA!A:A,FACTURA!F:F,"NO APLICA")</f>
        <v>46102</v>
      </c>
    </row>
    <row r="349" spans="8:14" x14ac:dyDescent="0.25">
      <c r="H349" s="19" t="str">
        <f ca="1">_xlfn.XLOOKUP(A349,FACTURA!A:A,FACTURA!E:E,"NO PLANIFICADO")</f>
        <v>PLANIFICADA</v>
      </c>
      <c r="I349" s="19" t="str">
        <f t="shared" si="5"/>
        <v>NO</v>
      </c>
      <c r="K349" s="23" t="s">
        <v>94</v>
      </c>
      <c r="N349" s="20" t="str">
        <f>_xlfn.XLOOKUP(A349,FACTURA!A:A,FACTURA!F:F,"NO APLICA")</f>
        <v>NO APLICA</v>
      </c>
    </row>
    <row r="350" spans="8:14" x14ac:dyDescent="0.25">
      <c r="H350" s="19" t="str">
        <f>_xlfn.XLOOKUP(A350,FACTURA!A:A,FACTURA!E:E,"NO PLANIFICADO")</f>
        <v>NO PLANIFICADO</v>
      </c>
      <c r="I350" s="19" t="str">
        <f t="shared" si="5"/>
        <v>NO</v>
      </c>
      <c r="K350" s="23" t="s">
        <v>94</v>
      </c>
      <c r="N350" s="20" t="str">
        <f>_xlfn.XLOOKUP(A350,FACTURA!A:A,FACTURA!F:F,"NO APLICA")</f>
        <v>NO APLICA</v>
      </c>
    </row>
    <row r="351" spans="8:14" x14ac:dyDescent="0.25">
      <c r="H351" s="19" t="str">
        <f>_xlfn.XLOOKUP(A351,FACTURA!A:A,FACTURA!E:E,"NO PLANIFICADO")</f>
        <v>NO PLANIFICADO</v>
      </c>
      <c r="I351" s="19" t="str">
        <f t="shared" si="5"/>
        <v>NO</v>
      </c>
      <c r="K351" s="23" t="s">
        <v>94</v>
      </c>
      <c r="N351" s="20" t="str">
        <f>_xlfn.XLOOKUP(A351,FACTURA!A:A,FACTURA!F:F,"NO APLICA")</f>
        <v>NO APLICA</v>
      </c>
    </row>
    <row r="352" spans="8:14" x14ac:dyDescent="0.25">
      <c r="H352" s="19" t="str">
        <f>_xlfn.XLOOKUP(A352,FACTURA!A:A,FACTURA!E:E,"NO PLANIFICADO")</f>
        <v>NO PLANIFICADO</v>
      </c>
      <c r="I352" s="19" t="str">
        <f t="shared" si="5"/>
        <v>NO</v>
      </c>
      <c r="K352" s="23" t="s">
        <v>94</v>
      </c>
      <c r="N352" s="20" t="str">
        <f>_xlfn.XLOOKUP(A352,FACTURA!A:A,FACTURA!F:F,"NO APLICA")</f>
        <v>NO APLICA</v>
      </c>
    </row>
    <row r="353" spans="8:14" x14ac:dyDescent="0.25">
      <c r="H353" s="19" t="str">
        <f>_xlfn.XLOOKUP(A353,FACTURA!A:A,FACTURA!E:E,"NO PLANIFICADO")</f>
        <v>NO PLANIFICADO</v>
      </c>
      <c r="I353" s="19" t="str">
        <f t="shared" si="5"/>
        <v>NO</v>
      </c>
      <c r="K353" s="23" t="s">
        <v>94</v>
      </c>
      <c r="N353" s="20" t="str">
        <f>_xlfn.XLOOKUP(A353,FACTURA!A:A,FACTURA!F:F,"NO APLICA")</f>
        <v>NO APLICA</v>
      </c>
    </row>
    <row r="354" spans="8:14" x14ac:dyDescent="0.25">
      <c r="H354" s="19" t="str">
        <f>_xlfn.XLOOKUP(A354,FACTURA!A:A,FACTURA!E:E,"NO PLANIFICADO")</f>
        <v>NO PLANIFICADO</v>
      </c>
      <c r="I354" s="19" t="str">
        <f t="shared" si="5"/>
        <v>NO</v>
      </c>
      <c r="K354" s="23" t="s">
        <v>94</v>
      </c>
      <c r="N354" s="20" t="str">
        <f>_xlfn.XLOOKUP(A354,FACTURA!A:A,FACTURA!F:F,"NO APLICA")</f>
        <v>NO APLICA</v>
      </c>
    </row>
    <row r="355" spans="8:14" x14ac:dyDescent="0.25">
      <c r="H355" s="19" t="str">
        <f>_xlfn.XLOOKUP(A355,FACTURA!A:A,FACTURA!E:E,"NO PLANIFICADO")</f>
        <v>NO PLANIFICADO</v>
      </c>
      <c r="I355" s="19" t="str">
        <f t="shared" si="5"/>
        <v>NO</v>
      </c>
      <c r="K355" s="23" t="s">
        <v>94</v>
      </c>
      <c r="N355" s="20" t="str">
        <f>_xlfn.XLOOKUP(A355,FACTURA!A:A,FACTURA!F:F,"NO APLICA")</f>
        <v>NO APLICA</v>
      </c>
    </row>
    <row r="356" spans="8:14" x14ac:dyDescent="0.25">
      <c r="H356" s="19" t="str">
        <f>_xlfn.XLOOKUP(A356,FACTURA!A:A,FACTURA!E:E,"NO PLANIFICADO")</f>
        <v>NO PLANIFICADO</v>
      </c>
      <c r="I356" s="19" t="str">
        <f t="shared" si="5"/>
        <v>NO</v>
      </c>
      <c r="K356" s="23" t="s">
        <v>94</v>
      </c>
      <c r="N356" s="20" t="str">
        <f>_xlfn.XLOOKUP(A356,FACTURA!A:A,FACTURA!F:F,"NO APLICA")</f>
        <v>NO APLICA</v>
      </c>
    </row>
    <row r="357" spans="8:14" x14ac:dyDescent="0.25">
      <c r="H357" s="19" t="str">
        <f>_xlfn.XLOOKUP(A357,FACTURA!A:A,FACTURA!E:E,"NO PLANIFICADO")</f>
        <v>NO PLANIFICADO</v>
      </c>
      <c r="I357" s="19" t="str">
        <f t="shared" si="5"/>
        <v>NO</v>
      </c>
      <c r="K357" s="23" t="s">
        <v>94</v>
      </c>
      <c r="N357" s="20">
        <f ca="1">_xlfn.XLOOKUP(A357,FACTURA!A:A,FACTURA!F:F,"NO APLICA")</f>
        <v>46102</v>
      </c>
    </row>
    <row r="358" spans="8:14" x14ac:dyDescent="0.25">
      <c r="H358" s="19" t="str">
        <f>_xlfn.XLOOKUP(A358,FACTURA!A:A,FACTURA!E:E,"NO PLANIFICADO")</f>
        <v>NO PLANIFICADO</v>
      </c>
      <c r="I358" s="19" t="str">
        <f t="shared" si="5"/>
        <v>NO</v>
      </c>
      <c r="K358" s="23" t="s">
        <v>94</v>
      </c>
      <c r="N358" s="20" t="str">
        <f>_xlfn.XLOOKUP(A358,FACTURA!A:A,FACTURA!F:F,"NO APLICA")</f>
        <v>NO APLICA</v>
      </c>
    </row>
    <row r="359" spans="8:14" x14ac:dyDescent="0.25">
      <c r="H359" s="19" t="str">
        <f>_xlfn.XLOOKUP(A359,FACTURA!A:A,FACTURA!E:E,"NO PLANIFICADO")</f>
        <v>NO PLANIFICADO</v>
      </c>
      <c r="I359" s="19" t="str">
        <f t="shared" si="5"/>
        <v>NO</v>
      </c>
      <c r="K359" s="23" t="s">
        <v>94</v>
      </c>
      <c r="N359" s="20" t="str">
        <f>_xlfn.XLOOKUP(A359,FACTURA!A:A,FACTURA!F:F,"NO APLICA")</f>
        <v>NO APLICA</v>
      </c>
    </row>
    <row r="360" spans="8:14" x14ac:dyDescent="0.25">
      <c r="H360" s="19" t="str">
        <f>_xlfn.XLOOKUP(A360,FACTURA!A:A,FACTURA!E:E,"NO PLANIFICADO")</f>
        <v>NO PLANIFICADO</v>
      </c>
      <c r="I360" s="19" t="str">
        <f t="shared" si="5"/>
        <v>NO</v>
      </c>
      <c r="K360" s="23" t="s">
        <v>94</v>
      </c>
      <c r="N360" s="20" t="str">
        <f>_xlfn.XLOOKUP(A360,FACTURA!A:A,FACTURA!F:F,"NO APLICA")</f>
        <v>NO APLICA</v>
      </c>
    </row>
    <row r="361" spans="8:14" x14ac:dyDescent="0.25">
      <c r="H361" s="19" t="str">
        <f>_xlfn.XLOOKUP(A361,FACTURA!A:A,FACTURA!E:E,"NO PLANIFICADO")</f>
        <v>NO PLANIFICADO</v>
      </c>
      <c r="I361" s="19" t="str">
        <f t="shared" si="5"/>
        <v>NO</v>
      </c>
      <c r="K361" s="23" t="s">
        <v>94</v>
      </c>
      <c r="N361" s="20" t="str">
        <f>_xlfn.XLOOKUP(A361,FACTURA!A:A,FACTURA!F:F,"NO APLICA")</f>
        <v>NO APLICA</v>
      </c>
    </row>
    <row r="362" spans="8:14" x14ac:dyDescent="0.25">
      <c r="H362" s="19" t="str">
        <f>_xlfn.XLOOKUP(A362,FACTURA!A:A,FACTURA!E:E,"NO PLANIFICADO")</f>
        <v>NO PLANIFICADO</v>
      </c>
      <c r="I362" s="19" t="str">
        <f t="shared" si="5"/>
        <v>NO</v>
      </c>
      <c r="K362" s="23" t="s">
        <v>94</v>
      </c>
      <c r="N362" s="20" t="str">
        <f>_xlfn.XLOOKUP(A362,FACTURA!A:A,FACTURA!F:F,"NO APLICA")</f>
        <v>NO APLICA</v>
      </c>
    </row>
    <row r="363" spans="8:14" x14ac:dyDescent="0.25">
      <c r="H363" s="19" t="str">
        <f>_xlfn.XLOOKUP(A363,FACTURA!A:A,FACTURA!E:E,"NO PLANIFICADO")</f>
        <v>NO PLANIFICADO</v>
      </c>
      <c r="I363" s="19" t="str">
        <f t="shared" si="5"/>
        <v>NO</v>
      </c>
      <c r="K363" s="23" t="s">
        <v>94</v>
      </c>
      <c r="N363" s="20">
        <f ca="1">_xlfn.XLOOKUP(A363,FACTURA!A:A,FACTURA!F:F,"NO APLICA")</f>
        <v>46102</v>
      </c>
    </row>
    <row r="364" spans="8:14" x14ac:dyDescent="0.25">
      <c r="H364" s="19" t="str">
        <f>_xlfn.XLOOKUP(A364,FACTURA!A:A,FACTURA!E:E,"NO PLANIFICADO")</f>
        <v>NO PLANIFICADO</v>
      </c>
      <c r="I364" s="19" t="str">
        <f t="shared" si="5"/>
        <v>NO</v>
      </c>
      <c r="K364" s="23" t="s">
        <v>94</v>
      </c>
      <c r="N364" s="20" t="str">
        <f>_xlfn.XLOOKUP(A364,FACTURA!A:A,FACTURA!F:F,"NO APLICA")</f>
        <v>NO APLICA</v>
      </c>
    </row>
    <row r="365" spans="8:14" x14ac:dyDescent="0.25">
      <c r="H365" s="19" t="str">
        <f>_xlfn.XLOOKUP(A365,FACTURA!A:A,FACTURA!E:E,"NO PLANIFICADO")</f>
        <v>NO PLANIFICADO</v>
      </c>
      <c r="I365" s="19" t="str">
        <f t="shared" si="5"/>
        <v>NO</v>
      </c>
      <c r="K365" s="23" t="s">
        <v>94</v>
      </c>
      <c r="N365" s="20" t="str">
        <f>_xlfn.XLOOKUP(A365,FACTURA!A:A,FACTURA!F:F,"NO APLICA")</f>
        <v>NO APLICA</v>
      </c>
    </row>
    <row r="366" spans="8:14" x14ac:dyDescent="0.25">
      <c r="H366" s="19" t="str">
        <f ca="1">_xlfn.XLOOKUP(A366,FACTURA!A:A,FACTURA!E:E,"NO PLANIFICADO")</f>
        <v>PLANIFICADA</v>
      </c>
      <c r="I366" s="19" t="str">
        <f t="shared" si="5"/>
        <v>NO</v>
      </c>
      <c r="K366" s="23" t="s">
        <v>94</v>
      </c>
      <c r="N366" s="20" t="str">
        <f>_xlfn.XLOOKUP(A366,FACTURA!A:A,FACTURA!F:F,"NO APLICA")</f>
        <v>NO APLICA</v>
      </c>
    </row>
    <row r="367" spans="8:14" x14ac:dyDescent="0.25">
      <c r="H367" s="19" t="str">
        <f>_xlfn.XLOOKUP(A367,FACTURA!A:A,FACTURA!E:E,"NO PLANIFICADO")</f>
        <v>NO PLANIFICADO</v>
      </c>
      <c r="I367" s="19" t="str">
        <f t="shared" si="5"/>
        <v>NO</v>
      </c>
      <c r="K367" s="23" t="s">
        <v>94</v>
      </c>
      <c r="N367" s="20" t="str">
        <f>_xlfn.XLOOKUP(A367,FACTURA!A:A,FACTURA!F:F,"NO APLICA")</f>
        <v>NO APLICA</v>
      </c>
    </row>
    <row r="368" spans="8:14" x14ac:dyDescent="0.25">
      <c r="H368" s="19" t="str">
        <f>_xlfn.XLOOKUP(A368,FACTURA!A:A,FACTURA!E:E,"NO PLANIFICADO")</f>
        <v>NO PLANIFICADO</v>
      </c>
      <c r="I368" s="19" t="str">
        <f t="shared" si="5"/>
        <v>NO</v>
      </c>
      <c r="K368" s="23" t="s">
        <v>94</v>
      </c>
      <c r="N368" s="20" t="str">
        <f>_xlfn.XLOOKUP(A368,FACTURA!A:A,FACTURA!F:F,"NO APLICA")</f>
        <v>NO APLICA</v>
      </c>
    </row>
    <row r="369" spans="8:14" x14ac:dyDescent="0.25">
      <c r="H369" s="19" t="str">
        <f ca="1">_xlfn.XLOOKUP(A369,FACTURA!A:A,FACTURA!E:E,"NO PLANIFICADO")</f>
        <v>PLANIFICADA</v>
      </c>
      <c r="I369" s="19" t="str">
        <f t="shared" si="5"/>
        <v>NO</v>
      </c>
      <c r="K369" s="23" t="s">
        <v>94</v>
      </c>
      <c r="N369" s="20" t="str">
        <f>_xlfn.XLOOKUP(A369,FACTURA!A:A,FACTURA!F:F,"NO APLICA")</f>
        <v>NO APLICA</v>
      </c>
    </row>
    <row r="370" spans="8:14" x14ac:dyDescent="0.25">
      <c r="H370" s="19" t="str">
        <f>_xlfn.XLOOKUP(A370,FACTURA!A:A,FACTURA!E:E,"NO PLANIFICADO")</f>
        <v>NO PLANIFICADO</v>
      </c>
      <c r="I370" s="19" t="str">
        <f t="shared" si="5"/>
        <v>NO</v>
      </c>
      <c r="K370" s="23" t="s">
        <v>94</v>
      </c>
      <c r="N370" s="20">
        <f ca="1">_xlfn.XLOOKUP(A370,FACTURA!A:A,FACTURA!F:F,"NO APLICA")</f>
        <v>46102</v>
      </c>
    </row>
    <row r="371" spans="8:14" x14ac:dyDescent="0.25">
      <c r="H371" s="19" t="str">
        <f>_xlfn.XLOOKUP(A371,FACTURA!A:A,FACTURA!E:E,"NO PLANIFICADO")</f>
        <v>NO PLANIFICADO</v>
      </c>
      <c r="I371" s="19" t="str">
        <f t="shared" si="5"/>
        <v>NO</v>
      </c>
      <c r="K371" s="23" t="s">
        <v>94</v>
      </c>
      <c r="N371" s="20" t="str">
        <f>_xlfn.XLOOKUP(A371,FACTURA!A:A,FACTURA!F:F,"NO APLICA")</f>
        <v>NO APLICA</v>
      </c>
    </row>
    <row r="372" spans="8:14" x14ac:dyDescent="0.25">
      <c r="H372" s="19" t="str">
        <f>_xlfn.XLOOKUP(A372,FACTURA!A:A,FACTURA!E:E,"NO PLANIFICADO")</f>
        <v>NO PLANIFICADO</v>
      </c>
      <c r="I372" s="19" t="str">
        <f t="shared" si="5"/>
        <v>NO</v>
      </c>
      <c r="K372" s="23" t="s">
        <v>94</v>
      </c>
      <c r="N372" s="20" t="str">
        <f>_xlfn.XLOOKUP(A372,FACTURA!A:A,FACTURA!F:F,"NO APLICA")</f>
        <v>NO APLICA</v>
      </c>
    </row>
    <row r="373" spans="8:14" x14ac:dyDescent="0.25">
      <c r="H373" s="19" t="str">
        <f>_xlfn.XLOOKUP(A373,FACTURA!A:A,FACTURA!E:E,"NO PLANIFICADO")</f>
        <v>NO PLANIFICADO</v>
      </c>
      <c r="I373" s="19" t="str">
        <f t="shared" si="5"/>
        <v>NO</v>
      </c>
      <c r="K373" s="23" t="s">
        <v>94</v>
      </c>
      <c r="N373" s="20" t="str">
        <f>_xlfn.XLOOKUP(A373,FACTURA!A:A,FACTURA!F:F,"NO APLICA")</f>
        <v>NO APLICA</v>
      </c>
    </row>
    <row r="374" spans="8:14" x14ac:dyDescent="0.25">
      <c r="H374" s="19" t="str">
        <f>_xlfn.XLOOKUP(A374,FACTURA!A:A,FACTURA!E:E,"NO PLANIFICADO")</f>
        <v>NO PLANIFICADO</v>
      </c>
      <c r="I374" s="19" t="str">
        <f t="shared" si="5"/>
        <v>NO</v>
      </c>
      <c r="K374" s="23" t="s">
        <v>94</v>
      </c>
      <c r="N374" s="20" t="str">
        <f>_xlfn.XLOOKUP(A374,FACTURA!A:A,FACTURA!F:F,"NO APLICA")</f>
        <v>NO APLICA</v>
      </c>
    </row>
    <row r="375" spans="8:14" x14ac:dyDescent="0.25">
      <c r="H375" s="19" t="str">
        <f>_xlfn.XLOOKUP(A375,FACTURA!A:A,FACTURA!E:E,"NO PLANIFICADO")</f>
        <v>NO PLANIFICADO</v>
      </c>
      <c r="I375" s="19" t="str">
        <f t="shared" si="5"/>
        <v>NO</v>
      </c>
      <c r="K375" s="23" t="s">
        <v>94</v>
      </c>
      <c r="N375" s="20" t="str">
        <f>_xlfn.XLOOKUP(A375,FACTURA!A:A,FACTURA!F:F,"NO APLICA")</f>
        <v>NO APLICA</v>
      </c>
    </row>
    <row r="376" spans="8:14" x14ac:dyDescent="0.25">
      <c r="H376" s="19" t="str">
        <f>_xlfn.XLOOKUP(A376,FACTURA!A:A,FACTURA!E:E,"NO PLANIFICADO")</f>
        <v>NO PLANIFICADO</v>
      </c>
      <c r="I376" s="19" t="str">
        <f t="shared" si="5"/>
        <v>NO</v>
      </c>
      <c r="K376" s="23" t="s">
        <v>94</v>
      </c>
      <c r="N376" s="20" t="str">
        <f>_xlfn.XLOOKUP(A376,FACTURA!A:A,FACTURA!F:F,"NO APLICA")</f>
        <v>NO APLICA</v>
      </c>
    </row>
    <row r="377" spans="8:14" x14ac:dyDescent="0.25">
      <c r="H377" s="19" t="str">
        <f>_xlfn.XLOOKUP(A377,FACTURA!A:A,FACTURA!E:E,"NO PLANIFICADO")</f>
        <v>NO PLANIFICADO</v>
      </c>
      <c r="I377" s="19" t="str">
        <f t="shared" si="5"/>
        <v>NO</v>
      </c>
      <c r="K377" s="23" t="s">
        <v>94</v>
      </c>
      <c r="N377" s="20" t="str">
        <f>_xlfn.XLOOKUP(A377,FACTURA!A:A,FACTURA!F:F,"NO APLICA")</f>
        <v>NO APLICA</v>
      </c>
    </row>
    <row r="378" spans="8:14" x14ac:dyDescent="0.25">
      <c r="H378" s="19" t="str">
        <f>_xlfn.XLOOKUP(A378,FACTURA!A:A,FACTURA!E:E,"NO PLANIFICADO")</f>
        <v>NO PLANIFICADO</v>
      </c>
      <c r="I378" s="19" t="str">
        <f t="shared" si="5"/>
        <v>NO</v>
      </c>
      <c r="K378" s="23" t="s">
        <v>94</v>
      </c>
      <c r="N378" s="20" t="str">
        <f>_xlfn.XLOOKUP(A378,FACTURA!A:A,FACTURA!F:F,"NO APLICA")</f>
        <v>NO APLICA</v>
      </c>
    </row>
    <row r="379" spans="8:14" x14ac:dyDescent="0.25">
      <c r="H379" s="19" t="str">
        <f>_xlfn.XLOOKUP(A379,FACTURA!A:A,FACTURA!E:E,"NO PLANIFICADO")</f>
        <v>NO PLANIFICADO</v>
      </c>
      <c r="I379" s="19" t="str">
        <f t="shared" si="5"/>
        <v>NO</v>
      </c>
      <c r="K379" s="23" t="s">
        <v>94</v>
      </c>
      <c r="N379" s="20" t="str">
        <f>_xlfn.XLOOKUP(A379,FACTURA!A:A,FACTURA!F:F,"NO APLICA")</f>
        <v>NO APLICA</v>
      </c>
    </row>
    <row r="380" spans="8:14" x14ac:dyDescent="0.25">
      <c r="H380" s="19" t="str">
        <f>_xlfn.XLOOKUP(A380,FACTURA!A:A,FACTURA!E:E,"NO PLANIFICADO")</f>
        <v>NO PLANIFICADO</v>
      </c>
      <c r="I380" s="19" t="str">
        <f t="shared" si="5"/>
        <v>NO</v>
      </c>
      <c r="K380" s="23" t="s">
        <v>94</v>
      </c>
      <c r="N380" s="20" t="str">
        <f>_xlfn.XLOOKUP(A380,FACTURA!A:A,FACTURA!F:F,"NO APLICA")</f>
        <v>NO APLICA</v>
      </c>
    </row>
    <row r="381" spans="8:14" x14ac:dyDescent="0.25">
      <c r="H381" s="19" t="str">
        <f>_xlfn.XLOOKUP(A381,FACTURA!A:A,FACTURA!E:E,"NO PLANIFICADO")</f>
        <v>NO PLANIFICADO</v>
      </c>
      <c r="I381" s="19" t="str">
        <f t="shared" si="5"/>
        <v>NO</v>
      </c>
      <c r="K381" s="23" t="s">
        <v>94</v>
      </c>
      <c r="N381" s="20">
        <f ca="1">_xlfn.XLOOKUP(A381,FACTURA!A:A,FACTURA!F:F,"NO APLICA")</f>
        <v>46102</v>
      </c>
    </row>
    <row r="382" spans="8:14" x14ac:dyDescent="0.25">
      <c r="H382" s="19" t="str">
        <f>_xlfn.XLOOKUP(A382,FACTURA!A:A,FACTURA!E:E,"NO PLANIFICADO")</f>
        <v>NO PLANIFICADO</v>
      </c>
      <c r="I382" s="19" t="str">
        <f t="shared" si="5"/>
        <v>NO</v>
      </c>
      <c r="K382" s="23" t="s">
        <v>94</v>
      </c>
      <c r="N382" s="20">
        <f ca="1">_xlfn.XLOOKUP(A382,FACTURA!A:A,FACTURA!F:F,"NO APLICA")</f>
        <v>46102</v>
      </c>
    </row>
    <row r="383" spans="8:14" x14ac:dyDescent="0.25">
      <c r="H383" s="19" t="str">
        <f>_xlfn.XLOOKUP(A383,FACTURA!A:A,FACTURA!E:E,"NO PLANIFICADO")</f>
        <v>NO PLANIFICADO</v>
      </c>
      <c r="I383" s="19" t="str">
        <f t="shared" si="5"/>
        <v>NO</v>
      </c>
      <c r="K383" s="23" t="s">
        <v>94</v>
      </c>
      <c r="N383" s="20" t="str">
        <f>_xlfn.XLOOKUP(A383,FACTURA!A:A,FACTURA!F:F,"NO APLICA")</f>
        <v>NO APLICA</v>
      </c>
    </row>
    <row r="384" spans="8:14" x14ac:dyDescent="0.25">
      <c r="H384" s="19" t="str">
        <f>_xlfn.XLOOKUP(A384,FACTURA!A:A,FACTURA!E:E,"NO PLANIFICADO")</f>
        <v>NO PLANIFICADO</v>
      </c>
      <c r="I384" s="19" t="str">
        <f t="shared" si="5"/>
        <v>NO</v>
      </c>
      <c r="K384" s="23" t="s">
        <v>94</v>
      </c>
      <c r="N384" s="20" t="str">
        <f>_xlfn.XLOOKUP(A384,FACTURA!A:A,FACTURA!F:F,"NO APLICA")</f>
        <v>NO APLICA</v>
      </c>
    </row>
    <row r="385" spans="8:14" x14ac:dyDescent="0.25">
      <c r="H385" s="19" t="str">
        <f ca="1">_xlfn.XLOOKUP(A385,FACTURA!A:A,FACTURA!E:E,"NO PLANIFICADO")</f>
        <v>PLANIFICADA</v>
      </c>
      <c r="I385" s="19" t="str">
        <f t="shared" si="5"/>
        <v>NO</v>
      </c>
      <c r="K385" s="23" t="s">
        <v>94</v>
      </c>
      <c r="N385" s="20">
        <f ca="1">_xlfn.XLOOKUP(A385,FACTURA!A:A,FACTURA!F:F,"NO APLICA")</f>
        <v>46102</v>
      </c>
    </row>
    <row r="386" spans="8:14" x14ac:dyDescent="0.25">
      <c r="H386" s="19" t="str">
        <f>_xlfn.XLOOKUP(A386,FACTURA!A:A,FACTURA!E:E,"NO PLANIFICADO")</f>
        <v>NO PLANIFICADO</v>
      </c>
      <c r="I386" s="19" t="str">
        <f t="shared" ref="I386:I449" si="6">IF(OR(E386="V.TECNICA",E386="PROYECTO",E386="IMPLEMENTACION"),"SI","NO")</f>
        <v>NO</v>
      </c>
      <c r="K386" s="23" t="s">
        <v>94</v>
      </c>
      <c r="N386" s="20" t="str">
        <f>_xlfn.XLOOKUP(A386,FACTURA!A:A,FACTURA!F:F,"NO APLICA")</f>
        <v>NO APLICA</v>
      </c>
    </row>
    <row r="387" spans="8:14" x14ac:dyDescent="0.25">
      <c r="H387" s="19" t="str">
        <f>_xlfn.XLOOKUP(A387,FACTURA!A:A,FACTURA!E:E,"NO PLANIFICADO")</f>
        <v>NO PLANIFICADO</v>
      </c>
      <c r="I387" s="19" t="str">
        <f t="shared" si="6"/>
        <v>NO</v>
      </c>
      <c r="K387" s="23" t="s">
        <v>94</v>
      </c>
      <c r="N387" s="20">
        <f ca="1">_xlfn.XLOOKUP(A387,FACTURA!A:A,FACTURA!F:F,"NO APLICA")</f>
        <v>46102</v>
      </c>
    </row>
    <row r="388" spans="8:14" x14ac:dyDescent="0.25">
      <c r="H388" s="19" t="str">
        <f>_xlfn.XLOOKUP(A388,FACTURA!A:A,FACTURA!E:E,"NO PLANIFICADO")</f>
        <v>NO PLANIFICADO</v>
      </c>
      <c r="I388" s="19" t="str">
        <f t="shared" si="6"/>
        <v>NO</v>
      </c>
      <c r="K388" s="23" t="s">
        <v>94</v>
      </c>
      <c r="N388" s="20" t="str">
        <f>_xlfn.XLOOKUP(A388,FACTURA!A:A,FACTURA!F:F,"NO APLICA")</f>
        <v>NO APLICA</v>
      </c>
    </row>
    <row r="389" spans="8:14" x14ac:dyDescent="0.25">
      <c r="H389" s="19" t="str">
        <f ca="1">_xlfn.XLOOKUP(A389,FACTURA!A:A,FACTURA!E:E,"NO PLANIFICADO")</f>
        <v>PLANIFICADA</v>
      </c>
      <c r="I389" s="19" t="str">
        <f t="shared" si="6"/>
        <v>NO</v>
      </c>
      <c r="K389" s="23" t="s">
        <v>94</v>
      </c>
      <c r="N389" s="20" t="str">
        <f>_xlfn.XLOOKUP(A389,FACTURA!A:A,FACTURA!F:F,"NO APLICA")</f>
        <v>NO APLICA</v>
      </c>
    </row>
    <row r="390" spans="8:14" x14ac:dyDescent="0.25">
      <c r="H390" s="19" t="str">
        <f ca="1">_xlfn.XLOOKUP(A390,FACTURA!A:A,FACTURA!E:E,"NO PLANIFICADO")</f>
        <v>PLANIFICADA</v>
      </c>
      <c r="I390" s="19" t="str">
        <f t="shared" si="6"/>
        <v>NO</v>
      </c>
      <c r="K390" s="23" t="s">
        <v>94</v>
      </c>
      <c r="N390" s="20" t="str">
        <f>_xlfn.XLOOKUP(A390,FACTURA!A:A,FACTURA!F:F,"NO APLICA")</f>
        <v>NO APLICA</v>
      </c>
    </row>
    <row r="391" spans="8:14" x14ac:dyDescent="0.25">
      <c r="H391" s="19" t="str">
        <f>_xlfn.XLOOKUP(A391,FACTURA!A:A,FACTURA!E:E,"NO PLANIFICADO")</f>
        <v>NO PLANIFICADO</v>
      </c>
      <c r="I391" s="19" t="str">
        <f t="shared" si="6"/>
        <v>NO</v>
      </c>
      <c r="K391" s="23" t="s">
        <v>94</v>
      </c>
      <c r="N391" s="20">
        <f ca="1">_xlfn.XLOOKUP(A391,FACTURA!A:A,FACTURA!F:F,"NO APLICA")</f>
        <v>46102</v>
      </c>
    </row>
    <row r="392" spans="8:14" x14ac:dyDescent="0.25">
      <c r="H392" s="19" t="str">
        <f>_xlfn.XLOOKUP(A392,FACTURA!A:A,FACTURA!E:E,"NO PLANIFICADO")</f>
        <v>NO PLANIFICADO</v>
      </c>
      <c r="I392" s="19" t="str">
        <f t="shared" si="6"/>
        <v>NO</v>
      </c>
      <c r="K392" s="23" t="s">
        <v>94</v>
      </c>
      <c r="N392" s="20" t="str">
        <f>_xlfn.XLOOKUP(A392,FACTURA!A:A,FACTURA!F:F,"NO APLICA")</f>
        <v>NO APLICA</v>
      </c>
    </row>
    <row r="393" spans="8:14" x14ac:dyDescent="0.25">
      <c r="H393" s="19" t="str">
        <f ca="1">_xlfn.XLOOKUP(A393,FACTURA!A:A,FACTURA!E:E,"NO PLANIFICADO")</f>
        <v>PLANIFICADA</v>
      </c>
      <c r="I393" s="19" t="str">
        <f t="shared" si="6"/>
        <v>NO</v>
      </c>
      <c r="K393" s="23" t="s">
        <v>94</v>
      </c>
      <c r="N393" s="20">
        <f ca="1">_xlfn.XLOOKUP(A393,FACTURA!A:A,FACTURA!F:F,"NO APLICA")</f>
        <v>46102</v>
      </c>
    </row>
    <row r="394" spans="8:14" x14ac:dyDescent="0.25">
      <c r="H394" s="19" t="str">
        <f>_xlfn.XLOOKUP(A394,FACTURA!A:A,FACTURA!E:E,"NO PLANIFICADO")</f>
        <v>NO PLANIFICADO</v>
      </c>
      <c r="I394" s="19" t="str">
        <f t="shared" si="6"/>
        <v>NO</v>
      </c>
      <c r="K394" s="23" t="s">
        <v>94</v>
      </c>
      <c r="N394" s="20" t="str">
        <f>_xlfn.XLOOKUP(A394,FACTURA!A:A,FACTURA!F:F,"NO APLICA")</f>
        <v>NO APLICA</v>
      </c>
    </row>
    <row r="395" spans="8:14" x14ac:dyDescent="0.25">
      <c r="H395" s="19" t="str">
        <f>_xlfn.XLOOKUP(A395,FACTURA!A:A,FACTURA!E:E,"NO PLANIFICADO")</f>
        <v>NO PLANIFICADO</v>
      </c>
      <c r="I395" s="19" t="str">
        <f t="shared" si="6"/>
        <v>NO</v>
      </c>
      <c r="K395" s="23" t="s">
        <v>94</v>
      </c>
      <c r="N395" s="20" t="str">
        <f>_xlfn.XLOOKUP(A395,FACTURA!A:A,FACTURA!F:F,"NO APLICA")</f>
        <v>NO APLICA</v>
      </c>
    </row>
    <row r="396" spans="8:14" x14ac:dyDescent="0.25">
      <c r="H396" s="19" t="str">
        <f>_xlfn.XLOOKUP(A396,FACTURA!A:A,FACTURA!E:E,"NO PLANIFICADO")</f>
        <v>NO PLANIFICADO</v>
      </c>
      <c r="I396" s="19" t="str">
        <f t="shared" si="6"/>
        <v>NO</v>
      </c>
      <c r="K396" s="23" t="s">
        <v>94</v>
      </c>
      <c r="N396" s="20" t="str">
        <f>_xlfn.XLOOKUP(A396,FACTURA!A:A,FACTURA!F:F,"NO APLICA")</f>
        <v>NO APLICA</v>
      </c>
    </row>
    <row r="397" spans="8:14" x14ac:dyDescent="0.25">
      <c r="H397" s="19" t="str">
        <f ca="1">_xlfn.XLOOKUP(A397,FACTURA!A:A,FACTURA!E:E,"NO PLANIFICADO")</f>
        <v>PLANIFICADA</v>
      </c>
      <c r="I397" s="19" t="str">
        <f t="shared" si="6"/>
        <v>NO</v>
      </c>
      <c r="K397" s="23" t="s">
        <v>94</v>
      </c>
      <c r="N397" s="20" t="str">
        <f>_xlfn.XLOOKUP(A397,FACTURA!A:A,FACTURA!F:F,"NO APLICA")</f>
        <v>NO APLICA</v>
      </c>
    </row>
    <row r="398" spans="8:14" x14ac:dyDescent="0.25">
      <c r="H398" s="19" t="str">
        <f ca="1">_xlfn.XLOOKUP(A398,FACTURA!A:A,FACTURA!E:E,"NO PLANIFICADO")</f>
        <v>PLANIFICADA</v>
      </c>
      <c r="I398" s="19" t="str">
        <f t="shared" si="6"/>
        <v>NO</v>
      </c>
      <c r="K398" s="23" t="s">
        <v>94</v>
      </c>
      <c r="N398" s="20" t="str">
        <f>_xlfn.XLOOKUP(A398,FACTURA!A:A,FACTURA!F:F,"NO APLICA")</f>
        <v>NO APLICA</v>
      </c>
    </row>
    <row r="399" spans="8:14" x14ac:dyDescent="0.25">
      <c r="H399" s="19" t="str">
        <f>_xlfn.XLOOKUP(A399,FACTURA!A:A,FACTURA!E:E,"NO PLANIFICADO")</f>
        <v>NO PLANIFICADO</v>
      </c>
      <c r="I399" s="19" t="str">
        <f t="shared" si="6"/>
        <v>NO</v>
      </c>
      <c r="K399" s="23" t="s">
        <v>94</v>
      </c>
      <c r="N399" s="20" t="str">
        <f>_xlfn.XLOOKUP(A399,FACTURA!A:A,FACTURA!F:F,"NO APLICA")</f>
        <v>NO APLICA</v>
      </c>
    </row>
    <row r="400" spans="8:14" x14ac:dyDescent="0.25">
      <c r="H400" s="19" t="str">
        <f>_xlfn.XLOOKUP(A400,FACTURA!A:A,FACTURA!E:E,"NO PLANIFICADO")</f>
        <v>NO PLANIFICADO</v>
      </c>
      <c r="I400" s="19" t="str">
        <f t="shared" si="6"/>
        <v>NO</v>
      </c>
      <c r="K400" s="23" t="s">
        <v>94</v>
      </c>
      <c r="N400" s="20" t="str">
        <f>_xlfn.XLOOKUP(A400,FACTURA!A:A,FACTURA!F:F,"NO APLICA")</f>
        <v>NO APLICA</v>
      </c>
    </row>
    <row r="401" spans="8:14" x14ac:dyDescent="0.25">
      <c r="H401" s="19" t="str">
        <f>_xlfn.XLOOKUP(A401,FACTURA!A:A,FACTURA!E:E,"NO PLANIFICADO")</f>
        <v>NO PLANIFICADO</v>
      </c>
      <c r="I401" s="19" t="str">
        <f t="shared" si="6"/>
        <v>NO</v>
      </c>
      <c r="K401" s="23" t="s">
        <v>94</v>
      </c>
      <c r="N401" s="20" t="str">
        <f>_xlfn.XLOOKUP(A401,FACTURA!A:A,FACTURA!F:F,"NO APLICA")</f>
        <v>NO APLICA</v>
      </c>
    </row>
    <row r="402" spans="8:14" x14ac:dyDescent="0.25">
      <c r="H402" s="19" t="str">
        <f>_xlfn.XLOOKUP(A402,FACTURA!A:A,FACTURA!E:E,"NO PLANIFICADO")</f>
        <v>NO PLANIFICADO</v>
      </c>
      <c r="I402" s="19" t="str">
        <f t="shared" si="6"/>
        <v>NO</v>
      </c>
      <c r="K402" s="23" t="s">
        <v>94</v>
      </c>
      <c r="N402" s="20" t="str">
        <f>_xlfn.XLOOKUP(A402,FACTURA!A:A,FACTURA!F:F,"NO APLICA")</f>
        <v>NO APLICA</v>
      </c>
    </row>
    <row r="403" spans="8:14" x14ac:dyDescent="0.25">
      <c r="H403" s="19" t="str">
        <f>_xlfn.XLOOKUP(A403,FACTURA!A:A,FACTURA!E:E,"NO PLANIFICADO")</f>
        <v>NO PLANIFICADO</v>
      </c>
      <c r="I403" s="19" t="str">
        <f t="shared" si="6"/>
        <v>NO</v>
      </c>
      <c r="K403" s="23" t="s">
        <v>94</v>
      </c>
      <c r="N403" s="20" t="str">
        <f>_xlfn.XLOOKUP(A403,FACTURA!A:A,FACTURA!F:F,"NO APLICA")</f>
        <v>NO APLICA</v>
      </c>
    </row>
    <row r="404" spans="8:14" x14ac:dyDescent="0.25">
      <c r="H404" s="19" t="str">
        <f>_xlfn.XLOOKUP(A404,FACTURA!A:A,FACTURA!E:E,"NO PLANIFICADO")</f>
        <v>NO PLANIFICADO</v>
      </c>
      <c r="I404" s="19" t="str">
        <f t="shared" si="6"/>
        <v>NO</v>
      </c>
      <c r="K404" s="23" t="s">
        <v>94</v>
      </c>
      <c r="N404" s="20" t="str">
        <f>_xlfn.XLOOKUP(A404,FACTURA!A:A,FACTURA!F:F,"NO APLICA")</f>
        <v>NO APLICA</v>
      </c>
    </row>
    <row r="405" spans="8:14" x14ac:dyDescent="0.25">
      <c r="H405" s="19" t="str">
        <f>_xlfn.XLOOKUP(A405,FACTURA!A:A,FACTURA!E:E,"NO PLANIFICADO")</f>
        <v>NO PLANIFICADO</v>
      </c>
      <c r="I405" s="19" t="str">
        <f t="shared" si="6"/>
        <v>NO</v>
      </c>
      <c r="K405" s="23" t="s">
        <v>94</v>
      </c>
      <c r="N405" s="20">
        <f ca="1">_xlfn.XLOOKUP(A405,FACTURA!A:A,FACTURA!F:F,"NO APLICA")</f>
        <v>46102</v>
      </c>
    </row>
    <row r="406" spans="8:14" x14ac:dyDescent="0.25">
      <c r="H406" s="19" t="str">
        <f>_xlfn.XLOOKUP(A406,FACTURA!A:A,FACTURA!E:E,"NO PLANIFICADO")</f>
        <v>NO PLANIFICADO</v>
      </c>
      <c r="I406" s="19" t="str">
        <f t="shared" si="6"/>
        <v>NO</v>
      </c>
      <c r="K406" s="23" t="s">
        <v>94</v>
      </c>
      <c r="N406" s="20" t="str">
        <f>_xlfn.XLOOKUP(A406,FACTURA!A:A,FACTURA!F:F,"NO APLICA")</f>
        <v>NO APLICA</v>
      </c>
    </row>
    <row r="407" spans="8:14" x14ac:dyDescent="0.25">
      <c r="H407" s="19" t="str">
        <f>_xlfn.XLOOKUP(A407,FACTURA!A:A,FACTURA!E:E,"NO PLANIFICADO")</f>
        <v>NO PLANIFICADO</v>
      </c>
      <c r="I407" s="19" t="str">
        <f t="shared" si="6"/>
        <v>NO</v>
      </c>
      <c r="K407" s="23" t="s">
        <v>94</v>
      </c>
      <c r="N407" s="20" t="str">
        <f>_xlfn.XLOOKUP(A407,FACTURA!A:A,FACTURA!F:F,"NO APLICA")</f>
        <v>NO APLICA</v>
      </c>
    </row>
    <row r="408" spans="8:14" x14ac:dyDescent="0.25">
      <c r="H408" s="19" t="str">
        <f>_xlfn.XLOOKUP(A408,FACTURA!A:A,FACTURA!E:E,"NO PLANIFICADO")</f>
        <v>NO PLANIFICADO</v>
      </c>
      <c r="I408" s="19" t="str">
        <f t="shared" si="6"/>
        <v>NO</v>
      </c>
      <c r="K408" s="23" t="s">
        <v>94</v>
      </c>
      <c r="N408" s="20" t="str">
        <f>_xlfn.XLOOKUP(A408,FACTURA!A:A,FACTURA!F:F,"NO APLICA")</f>
        <v>NO APLICA</v>
      </c>
    </row>
    <row r="409" spans="8:14" x14ac:dyDescent="0.25">
      <c r="H409" s="19" t="str">
        <f ca="1">_xlfn.XLOOKUP(A409,FACTURA!A:A,FACTURA!E:E,"NO PLANIFICADO")</f>
        <v>PLANIFICADA</v>
      </c>
      <c r="I409" s="19" t="str">
        <f t="shared" si="6"/>
        <v>NO</v>
      </c>
      <c r="K409" s="23" t="s">
        <v>94</v>
      </c>
      <c r="N409" s="20" t="str">
        <f>_xlfn.XLOOKUP(A409,FACTURA!A:A,FACTURA!F:F,"NO APLICA")</f>
        <v>NO APLICA</v>
      </c>
    </row>
    <row r="410" spans="8:14" x14ac:dyDescent="0.25">
      <c r="H410" s="19" t="str">
        <f ca="1">_xlfn.XLOOKUP(A410,FACTURA!A:A,FACTURA!E:E,"NO PLANIFICADO")</f>
        <v>PLANIFICADA</v>
      </c>
      <c r="I410" s="19" t="str">
        <f t="shared" si="6"/>
        <v>NO</v>
      </c>
      <c r="K410" s="23" t="s">
        <v>94</v>
      </c>
      <c r="N410" s="20" t="str">
        <f>_xlfn.XLOOKUP(A410,FACTURA!A:A,FACTURA!F:F,"NO APLICA")</f>
        <v>NO APLICA</v>
      </c>
    </row>
    <row r="411" spans="8:14" x14ac:dyDescent="0.25">
      <c r="H411" s="19" t="str">
        <f>_xlfn.XLOOKUP(A411,FACTURA!A:A,FACTURA!E:E,"NO PLANIFICADO")</f>
        <v>NO PLANIFICADO</v>
      </c>
      <c r="I411" s="19" t="str">
        <f t="shared" si="6"/>
        <v>NO</v>
      </c>
      <c r="K411" s="23" t="s">
        <v>94</v>
      </c>
      <c r="N411" s="20" t="str">
        <f>_xlfn.XLOOKUP(A411,FACTURA!A:A,FACTURA!F:F,"NO APLICA")</f>
        <v>NO APLICA</v>
      </c>
    </row>
    <row r="412" spans="8:14" x14ac:dyDescent="0.25">
      <c r="H412" s="19" t="str">
        <f>_xlfn.XLOOKUP(A412,FACTURA!A:A,FACTURA!E:E,"NO PLANIFICADO")</f>
        <v>NO PLANIFICADO</v>
      </c>
      <c r="I412" s="19" t="str">
        <f t="shared" si="6"/>
        <v>NO</v>
      </c>
      <c r="K412" s="23" t="s">
        <v>94</v>
      </c>
      <c r="N412" s="20" t="str">
        <f>_xlfn.XLOOKUP(A412,FACTURA!A:A,FACTURA!F:F,"NO APLICA")</f>
        <v>NO APLICA</v>
      </c>
    </row>
    <row r="413" spans="8:14" x14ac:dyDescent="0.25">
      <c r="H413" s="19" t="str">
        <f>_xlfn.XLOOKUP(A413,FACTURA!A:A,FACTURA!E:E,"NO PLANIFICADO")</f>
        <v>NO PLANIFICADO</v>
      </c>
      <c r="I413" s="19" t="str">
        <f t="shared" si="6"/>
        <v>NO</v>
      </c>
      <c r="K413" s="23" t="s">
        <v>94</v>
      </c>
      <c r="N413" s="20" t="str">
        <f>_xlfn.XLOOKUP(A413,FACTURA!A:A,FACTURA!F:F,"NO APLICA")</f>
        <v>NO APLICA</v>
      </c>
    </row>
    <row r="414" spans="8:14" x14ac:dyDescent="0.25">
      <c r="H414" s="19" t="str">
        <f>_xlfn.XLOOKUP(A414,FACTURA!A:A,FACTURA!E:E,"NO PLANIFICADO")</f>
        <v>NO PLANIFICADO</v>
      </c>
      <c r="I414" s="19" t="str">
        <f t="shared" si="6"/>
        <v>NO</v>
      </c>
      <c r="K414" s="23" t="s">
        <v>94</v>
      </c>
      <c r="N414" s="20" t="str">
        <f>_xlfn.XLOOKUP(A414,FACTURA!A:A,FACTURA!F:F,"NO APLICA")</f>
        <v>NO APLICA</v>
      </c>
    </row>
    <row r="415" spans="8:14" x14ac:dyDescent="0.25">
      <c r="H415" s="19" t="str">
        <f ca="1">_xlfn.XLOOKUP(A415,FACTURA!A:A,FACTURA!E:E,"NO PLANIFICADO")</f>
        <v>PLANIFICADA</v>
      </c>
      <c r="I415" s="19" t="str">
        <f t="shared" si="6"/>
        <v>NO</v>
      </c>
      <c r="K415" s="23" t="s">
        <v>94</v>
      </c>
      <c r="N415" s="20" t="str">
        <f>_xlfn.XLOOKUP(A415,FACTURA!A:A,FACTURA!F:F,"NO APLICA")</f>
        <v>NO APLICA</v>
      </c>
    </row>
    <row r="416" spans="8:14" x14ac:dyDescent="0.25">
      <c r="H416" s="19" t="str">
        <f>_xlfn.XLOOKUP(A416,FACTURA!A:A,FACTURA!E:E,"NO PLANIFICADO")</f>
        <v>NO PLANIFICADO</v>
      </c>
      <c r="I416" s="19" t="str">
        <f t="shared" si="6"/>
        <v>NO</v>
      </c>
      <c r="K416" s="23" t="s">
        <v>94</v>
      </c>
      <c r="N416" s="20" t="str">
        <f>_xlfn.XLOOKUP(A416,FACTURA!A:A,FACTURA!F:F,"NO APLICA")</f>
        <v>NO APLICA</v>
      </c>
    </row>
    <row r="417" spans="8:14" x14ac:dyDescent="0.25">
      <c r="H417" s="19" t="str">
        <f>_xlfn.XLOOKUP(A417,FACTURA!A:A,FACTURA!E:E,"NO PLANIFICADO")</f>
        <v>NO PLANIFICADO</v>
      </c>
      <c r="I417" s="19" t="str">
        <f t="shared" si="6"/>
        <v>NO</v>
      </c>
      <c r="K417" s="23" t="s">
        <v>94</v>
      </c>
      <c r="N417" s="20" t="str">
        <f>_xlfn.XLOOKUP(A417,FACTURA!A:A,FACTURA!F:F,"NO APLICA")</f>
        <v>NO APLICA</v>
      </c>
    </row>
    <row r="418" spans="8:14" x14ac:dyDescent="0.25">
      <c r="H418" s="19" t="str">
        <f>_xlfn.XLOOKUP(A418,FACTURA!A:A,FACTURA!E:E,"NO PLANIFICADO")</f>
        <v>NO PLANIFICADO</v>
      </c>
      <c r="I418" s="19" t="str">
        <f t="shared" si="6"/>
        <v>NO</v>
      </c>
      <c r="K418" s="23" t="s">
        <v>94</v>
      </c>
      <c r="N418" s="20" t="str">
        <f>_xlfn.XLOOKUP(A418,FACTURA!A:A,FACTURA!F:F,"NO APLICA")</f>
        <v>NO APLICA</v>
      </c>
    </row>
    <row r="419" spans="8:14" x14ac:dyDescent="0.25">
      <c r="H419" s="19" t="str">
        <f>_xlfn.XLOOKUP(A419,FACTURA!A:A,FACTURA!E:E,"NO PLANIFICADO")</f>
        <v>NO PLANIFICADO</v>
      </c>
      <c r="I419" s="19" t="str">
        <f t="shared" si="6"/>
        <v>NO</v>
      </c>
      <c r="K419" s="23" t="s">
        <v>94</v>
      </c>
      <c r="N419" s="20" t="str">
        <f>_xlfn.XLOOKUP(A419,FACTURA!A:A,FACTURA!F:F,"NO APLICA")</f>
        <v>NO APLICA</v>
      </c>
    </row>
    <row r="420" spans="8:14" x14ac:dyDescent="0.25">
      <c r="H420" s="19" t="str">
        <f>_xlfn.XLOOKUP(A420,FACTURA!A:A,FACTURA!E:E,"NO PLANIFICADO")</f>
        <v>NO PLANIFICADO</v>
      </c>
      <c r="I420" s="19" t="str">
        <f t="shared" si="6"/>
        <v>NO</v>
      </c>
      <c r="K420" s="23" t="s">
        <v>94</v>
      </c>
      <c r="N420" s="20" t="str">
        <f>_xlfn.XLOOKUP(A420,FACTURA!A:A,FACTURA!F:F,"NO APLICA")</f>
        <v>NO APLICA</v>
      </c>
    </row>
    <row r="421" spans="8:14" x14ac:dyDescent="0.25">
      <c r="H421" s="19" t="str">
        <f>_xlfn.XLOOKUP(A421,FACTURA!A:A,FACTURA!E:E,"NO PLANIFICADO")</f>
        <v>NO PLANIFICADO</v>
      </c>
      <c r="I421" s="19" t="str">
        <f t="shared" si="6"/>
        <v>NO</v>
      </c>
      <c r="K421" s="23" t="s">
        <v>94</v>
      </c>
      <c r="N421" s="20" t="str">
        <f>_xlfn.XLOOKUP(A421,FACTURA!A:A,FACTURA!F:F,"NO APLICA")</f>
        <v>NO APLICA</v>
      </c>
    </row>
    <row r="422" spans="8:14" x14ac:dyDescent="0.25">
      <c r="H422" s="19" t="str">
        <f>_xlfn.XLOOKUP(A422,FACTURA!A:A,FACTURA!E:E,"NO PLANIFICADO")</f>
        <v>NO PLANIFICADO</v>
      </c>
      <c r="I422" s="19" t="str">
        <f t="shared" si="6"/>
        <v>NO</v>
      </c>
      <c r="K422" s="23" t="s">
        <v>94</v>
      </c>
      <c r="N422" s="20" t="str">
        <f>_xlfn.XLOOKUP(A422,FACTURA!A:A,FACTURA!F:F,"NO APLICA")</f>
        <v>NO APLICA</v>
      </c>
    </row>
    <row r="423" spans="8:14" x14ac:dyDescent="0.25">
      <c r="H423" s="19" t="str">
        <f>_xlfn.XLOOKUP(A423,FACTURA!A:A,FACTURA!E:E,"NO PLANIFICADO")</f>
        <v>NO PLANIFICADO</v>
      </c>
      <c r="I423" s="19" t="str">
        <f t="shared" si="6"/>
        <v>NO</v>
      </c>
      <c r="K423" s="23" t="s">
        <v>94</v>
      </c>
      <c r="N423" s="20" t="str">
        <f>_xlfn.XLOOKUP(A423,FACTURA!A:A,FACTURA!F:F,"NO APLICA")</f>
        <v>NO APLICA</v>
      </c>
    </row>
    <row r="424" spans="8:14" x14ac:dyDescent="0.25">
      <c r="H424" s="19" t="str">
        <f>_xlfn.XLOOKUP(A424,FACTURA!A:A,FACTURA!E:E,"NO PLANIFICADO")</f>
        <v>NO PLANIFICADO</v>
      </c>
      <c r="I424" s="19" t="str">
        <f t="shared" si="6"/>
        <v>NO</v>
      </c>
      <c r="K424" s="23" t="s">
        <v>94</v>
      </c>
      <c r="N424" s="20" t="str">
        <f>_xlfn.XLOOKUP(A424,FACTURA!A:A,FACTURA!F:F,"NO APLICA")</f>
        <v>NO APLICA</v>
      </c>
    </row>
    <row r="425" spans="8:14" x14ac:dyDescent="0.25">
      <c r="H425" s="19" t="str">
        <f>_xlfn.XLOOKUP(A425,FACTURA!A:A,FACTURA!E:E,"NO PLANIFICADO")</f>
        <v>NO PLANIFICADO</v>
      </c>
      <c r="I425" s="19" t="str">
        <f t="shared" si="6"/>
        <v>NO</v>
      </c>
      <c r="K425" s="23" t="s">
        <v>94</v>
      </c>
      <c r="N425" s="20" t="str">
        <f>_xlfn.XLOOKUP(A425,FACTURA!A:A,FACTURA!F:F,"NO APLICA")</f>
        <v>NO APLICA</v>
      </c>
    </row>
    <row r="426" spans="8:14" x14ac:dyDescent="0.25">
      <c r="H426" s="19" t="str">
        <f>_xlfn.XLOOKUP(A426,FACTURA!A:A,FACTURA!E:E,"NO PLANIFICADO")</f>
        <v>NO PLANIFICADO</v>
      </c>
      <c r="I426" s="19" t="str">
        <f t="shared" si="6"/>
        <v>NO</v>
      </c>
      <c r="K426" s="23" t="s">
        <v>94</v>
      </c>
      <c r="N426" s="20" t="str">
        <f>_xlfn.XLOOKUP(A426,FACTURA!A:A,FACTURA!F:F,"NO APLICA")</f>
        <v>NO APLICA</v>
      </c>
    </row>
    <row r="427" spans="8:14" x14ac:dyDescent="0.25">
      <c r="H427" s="19" t="str">
        <f>_xlfn.XLOOKUP(A427,FACTURA!A:A,FACTURA!E:E,"NO PLANIFICADO")</f>
        <v>NO PLANIFICADO</v>
      </c>
      <c r="I427" s="19" t="str">
        <f t="shared" si="6"/>
        <v>NO</v>
      </c>
      <c r="K427" s="23" t="s">
        <v>94</v>
      </c>
      <c r="N427" s="20" t="str">
        <f>_xlfn.XLOOKUP(A427,FACTURA!A:A,FACTURA!F:F,"NO APLICA")</f>
        <v>NO APLICA</v>
      </c>
    </row>
    <row r="428" spans="8:14" x14ac:dyDescent="0.25">
      <c r="H428" s="19" t="str">
        <f>_xlfn.XLOOKUP(A428,FACTURA!A:A,FACTURA!E:E,"NO PLANIFICADO")</f>
        <v>NO PLANIFICADO</v>
      </c>
      <c r="I428" s="19" t="str">
        <f t="shared" si="6"/>
        <v>NO</v>
      </c>
      <c r="K428" s="23" t="s">
        <v>94</v>
      </c>
      <c r="N428" s="20" t="str">
        <f>_xlfn.XLOOKUP(A428,FACTURA!A:A,FACTURA!F:F,"NO APLICA")</f>
        <v>NO APLICA</v>
      </c>
    </row>
    <row r="429" spans="8:14" x14ac:dyDescent="0.25">
      <c r="H429" s="19" t="str">
        <f ca="1">_xlfn.XLOOKUP(A429,FACTURA!A:A,FACTURA!E:E,"NO PLANIFICADO")</f>
        <v>PLANIFICADA</v>
      </c>
      <c r="I429" s="19" t="str">
        <f t="shared" si="6"/>
        <v>NO</v>
      </c>
      <c r="K429" s="23" t="s">
        <v>94</v>
      </c>
      <c r="N429" s="20">
        <f ca="1">_xlfn.XLOOKUP(A429,FACTURA!A:A,FACTURA!F:F,"NO APLICA")</f>
        <v>46102</v>
      </c>
    </row>
    <row r="430" spans="8:14" x14ac:dyDescent="0.25">
      <c r="H430" s="19" t="str">
        <f>_xlfn.XLOOKUP(A430,FACTURA!A:A,FACTURA!E:E,"NO PLANIFICADO")</f>
        <v>NO PLANIFICADO</v>
      </c>
      <c r="I430" s="19" t="str">
        <f t="shared" si="6"/>
        <v>NO</v>
      </c>
      <c r="K430" s="23" t="s">
        <v>94</v>
      </c>
      <c r="N430" s="20" t="str">
        <f>_xlfn.XLOOKUP(A430,FACTURA!A:A,FACTURA!F:F,"NO APLICA")</f>
        <v>NO APLICA</v>
      </c>
    </row>
    <row r="431" spans="8:14" x14ac:dyDescent="0.25">
      <c r="H431" s="19" t="str">
        <f>_xlfn.XLOOKUP(A431,FACTURA!A:A,FACTURA!E:E,"NO PLANIFICADO")</f>
        <v>NO PLANIFICADO</v>
      </c>
      <c r="I431" s="19" t="str">
        <f t="shared" si="6"/>
        <v>NO</v>
      </c>
      <c r="K431" s="23" t="s">
        <v>94</v>
      </c>
      <c r="N431" s="20">
        <f ca="1">_xlfn.XLOOKUP(A431,FACTURA!A:A,FACTURA!F:F,"NO APLICA")</f>
        <v>46102</v>
      </c>
    </row>
    <row r="432" spans="8:14" x14ac:dyDescent="0.25">
      <c r="H432" s="19" t="str">
        <f>_xlfn.XLOOKUP(A432,FACTURA!A:A,FACTURA!E:E,"NO PLANIFICADO")</f>
        <v>NO PLANIFICADO</v>
      </c>
      <c r="I432" s="19" t="str">
        <f t="shared" si="6"/>
        <v>NO</v>
      </c>
      <c r="K432" s="23" t="s">
        <v>94</v>
      </c>
      <c r="N432" s="20" t="str">
        <f>_xlfn.XLOOKUP(A432,FACTURA!A:A,FACTURA!F:F,"NO APLICA")</f>
        <v>NO APLICA</v>
      </c>
    </row>
    <row r="433" spans="8:14" x14ac:dyDescent="0.25">
      <c r="H433" s="19" t="str">
        <f ca="1">_xlfn.XLOOKUP(A433,FACTURA!A:A,FACTURA!E:E,"NO PLANIFICADO")</f>
        <v>PLANIFICADA</v>
      </c>
      <c r="I433" s="19" t="str">
        <f t="shared" si="6"/>
        <v>NO</v>
      </c>
      <c r="K433" s="23" t="s">
        <v>94</v>
      </c>
      <c r="N433" s="20" t="str">
        <f>_xlfn.XLOOKUP(A433,FACTURA!A:A,FACTURA!F:F,"NO APLICA")</f>
        <v>NO APLICA</v>
      </c>
    </row>
    <row r="434" spans="8:14" x14ac:dyDescent="0.25">
      <c r="H434" s="19" t="str">
        <f>_xlfn.XLOOKUP(A434,FACTURA!A:A,FACTURA!E:E,"NO PLANIFICADO")</f>
        <v>NO PLANIFICADO</v>
      </c>
      <c r="I434" s="19" t="str">
        <f t="shared" si="6"/>
        <v>NO</v>
      </c>
      <c r="K434" s="23" t="s">
        <v>94</v>
      </c>
      <c r="N434" s="20" t="str">
        <f>_xlfn.XLOOKUP(A434,FACTURA!A:A,FACTURA!F:F,"NO APLICA")</f>
        <v>NO APLICA</v>
      </c>
    </row>
    <row r="435" spans="8:14" x14ac:dyDescent="0.25">
      <c r="H435" s="19" t="str">
        <f>_xlfn.XLOOKUP(A435,FACTURA!A:A,FACTURA!E:E,"NO PLANIFICADO")</f>
        <v>NO PLANIFICADO</v>
      </c>
      <c r="I435" s="19" t="str">
        <f t="shared" si="6"/>
        <v>NO</v>
      </c>
      <c r="K435" s="23" t="s">
        <v>94</v>
      </c>
      <c r="N435" s="20" t="str">
        <f>_xlfn.XLOOKUP(A435,FACTURA!A:A,FACTURA!F:F,"NO APLICA")</f>
        <v>NO APLICA</v>
      </c>
    </row>
    <row r="436" spans="8:14" x14ac:dyDescent="0.25">
      <c r="H436" s="19" t="str">
        <f>_xlfn.XLOOKUP(A436,FACTURA!A:A,FACTURA!E:E,"NO PLANIFICADO")</f>
        <v>NO PLANIFICADO</v>
      </c>
      <c r="I436" s="19" t="str">
        <f t="shared" si="6"/>
        <v>NO</v>
      </c>
      <c r="K436" s="23" t="s">
        <v>94</v>
      </c>
      <c r="N436" s="20" t="str">
        <f>_xlfn.XLOOKUP(A436,FACTURA!A:A,FACTURA!F:F,"NO APLICA")</f>
        <v>NO APLICA</v>
      </c>
    </row>
    <row r="437" spans="8:14" x14ac:dyDescent="0.25">
      <c r="H437" s="19" t="str">
        <f>_xlfn.XLOOKUP(A437,FACTURA!A:A,FACTURA!E:E,"NO PLANIFICADO")</f>
        <v>NO PLANIFICADO</v>
      </c>
      <c r="I437" s="19" t="str">
        <f t="shared" si="6"/>
        <v>NO</v>
      </c>
      <c r="K437" s="23" t="s">
        <v>94</v>
      </c>
      <c r="N437" s="20" t="str">
        <f>_xlfn.XLOOKUP(A437,FACTURA!A:A,FACTURA!F:F,"NO APLICA")</f>
        <v>NO APLICA</v>
      </c>
    </row>
    <row r="438" spans="8:14" x14ac:dyDescent="0.25">
      <c r="H438" s="19" t="str">
        <f>_xlfn.XLOOKUP(A438,FACTURA!A:A,FACTURA!E:E,"NO PLANIFICADO")</f>
        <v>NO PLANIFICADO</v>
      </c>
      <c r="I438" s="19" t="str">
        <f t="shared" si="6"/>
        <v>NO</v>
      </c>
      <c r="K438" s="23" t="s">
        <v>94</v>
      </c>
      <c r="N438" s="20" t="str">
        <f>_xlfn.XLOOKUP(A438,FACTURA!A:A,FACTURA!F:F,"NO APLICA")</f>
        <v>NO APLICA</v>
      </c>
    </row>
    <row r="439" spans="8:14" x14ac:dyDescent="0.25">
      <c r="H439" s="19" t="str">
        <f>_xlfn.XLOOKUP(A439,FACTURA!A:A,FACTURA!E:E,"NO PLANIFICADO")</f>
        <v>NO PLANIFICADO</v>
      </c>
      <c r="I439" s="19" t="str">
        <f t="shared" si="6"/>
        <v>NO</v>
      </c>
      <c r="K439" s="23" t="s">
        <v>94</v>
      </c>
      <c r="N439" s="20" t="str">
        <f>_xlfn.XLOOKUP(A439,FACTURA!A:A,FACTURA!F:F,"NO APLICA")</f>
        <v>NO APLICA</v>
      </c>
    </row>
    <row r="440" spans="8:14" x14ac:dyDescent="0.25">
      <c r="H440" s="19" t="str">
        <f>_xlfn.XLOOKUP(A440,FACTURA!A:A,FACTURA!E:E,"NO PLANIFICADO")</f>
        <v>NO PLANIFICADO</v>
      </c>
      <c r="I440" s="19" t="str">
        <f t="shared" si="6"/>
        <v>NO</v>
      </c>
      <c r="K440" s="23" t="s">
        <v>94</v>
      </c>
      <c r="N440" s="20" t="str">
        <f>_xlfn.XLOOKUP(A440,FACTURA!A:A,FACTURA!F:F,"NO APLICA")</f>
        <v>NO APLICA</v>
      </c>
    </row>
    <row r="441" spans="8:14" x14ac:dyDescent="0.25">
      <c r="H441" s="19" t="str">
        <f>_xlfn.XLOOKUP(A441,FACTURA!A:A,FACTURA!E:E,"NO PLANIFICADO")</f>
        <v>NO PLANIFICADO</v>
      </c>
      <c r="I441" s="19" t="str">
        <f t="shared" si="6"/>
        <v>NO</v>
      </c>
      <c r="K441" s="23" t="s">
        <v>94</v>
      </c>
      <c r="N441" s="20">
        <f ca="1">_xlfn.XLOOKUP(A441,FACTURA!A:A,FACTURA!F:F,"NO APLICA")</f>
        <v>46102</v>
      </c>
    </row>
    <row r="442" spans="8:14" x14ac:dyDescent="0.25">
      <c r="H442" s="19" t="str">
        <f>_xlfn.XLOOKUP(A442,FACTURA!A:A,FACTURA!E:E,"NO PLANIFICADO")</f>
        <v>NO PLANIFICADO</v>
      </c>
      <c r="I442" s="19" t="str">
        <f t="shared" si="6"/>
        <v>NO</v>
      </c>
      <c r="K442" s="23" t="s">
        <v>94</v>
      </c>
      <c r="N442" s="20">
        <f ca="1">_xlfn.XLOOKUP(A442,FACTURA!A:A,FACTURA!F:F,"NO APLICA")</f>
        <v>46102</v>
      </c>
    </row>
    <row r="443" spans="8:14" x14ac:dyDescent="0.25">
      <c r="H443" s="19" t="str">
        <f>_xlfn.XLOOKUP(A443,FACTURA!A:A,FACTURA!E:E,"NO PLANIFICADO")</f>
        <v>NO PLANIFICADO</v>
      </c>
      <c r="I443" s="19" t="str">
        <f t="shared" si="6"/>
        <v>NO</v>
      </c>
      <c r="K443" s="23" t="s">
        <v>94</v>
      </c>
      <c r="N443" s="20" t="str">
        <f>_xlfn.XLOOKUP(A443,FACTURA!A:A,FACTURA!F:F,"NO APLICA")</f>
        <v>NO APLICA</v>
      </c>
    </row>
    <row r="444" spans="8:14" x14ac:dyDescent="0.25">
      <c r="H444" s="19" t="str">
        <f>_xlfn.XLOOKUP(A444,FACTURA!A:A,FACTURA!E:E,"NO PLANIFICADO")</f>
        <v>NO PLANIFICADO</v>
      </c>
      <c r="I444" s="19" t="str">
        <f t="shared" si="6"/>
        <v>NO</v>
      </c>
      <c r="K444" s="23" t="s">
        <v>94</v>
      </c>
      <c r="N444" s="20" t="str">
        <f>_xlfn.XLOOKUP(A444,FACTURA!A:A,FACTURA!F:F,"NO APLICA")</f>
        <v>NO APLICA</v>
      </c>
    </row>
    <row r="445" spans="8:14" x14ac:dyDescent="0.25">
      <c r="H445" s="19" t="str">
        <f ca="1">_xlfn.XLOOKUP(A445,FACTURA!A:A,FACTURA!E:E,"NO PLANIFICADO")</f>
        <v>PLANIFICADA</v>
      </c>
      <c r="I445" s="19" t="str">
        <f t="shared" si="6"/>
        <v>NO</v>
      </c>
      <c r="K445" s="23" t="s">
        <v>94</v>
      </c>
      <c r="N445" s="20" t="str">
        <f>_xlfn.XLOOKUP(A445,FACTURA!A:A,FACTURA!F:F,"NO APLICA")</f>
        <v>NO APLICA</v>
      </c>
    </row>
    <row r="446" spans="8:14" x14ac:dyDescent="0.25">
      <c r="H446" s="19" t="str">
        <f>_xlfn.XLOOKUP(A446,FACTURA!A:A,FACTURA!E:E,"NO PLANIFICADO")</f>
        <v>NO PLANIFICADO</v>
      </c>
      <c r="I446" s="19" t="str">
        <f t="shared" si="6"/>
        <v>NO</v>
      </c>
      <c r="K446" s="23" t="s">
        <v>94</v>
      </c>
      <c r="N446" s="20" t="str">
        <f>_xlfn.XLOOKUP(A446,FACTURA!A:A,FACTURA!F:F,"NO APLICA")</f>
        <v>NO APLICA</v>
      </c>
    </row>
    <row r="447" spans="8:14" x14ac:dyDescent="0.25">
      <c r="H447" s="19" t="str">
        <f>_xlfn.XLOOKUP(A447,FACTURA!A:A,FACTURA!E:E,"NO PLANIFICADO")</f>
        <v>NO PLANIFICADO</v>
      </c>
      <c r="I447" s="19" t="str">
        <f t="shared" si="6"/>
        <v>NO</v>
      </c>
      <c r="K447" s="23" t="s">
        <v>94</v>
      </c>
      <c r="N447" s="20" t="str">
        <f>_xlfn.XLOOKUP(A447,FACTURA!A:A,FACTURA!F:F,"NO APLICA")</f>
        <v>NO APLICA</v>
      </c>
    </row>
    <row r="448" spans="8:14" x14ac:dyDescent="0.25">
      <c r="H448" s="19" t="str">
        <f ca="1">_xlfn.XLOOKUP(A448,FACTURA!A:A,FACTURA!E:E,"NO PLANIFICADO")</f>
        <v>PLANIFICADA</v>
      </c>
      <c r="I448" s="19" t="str">
        <f t="shared" si="6"/>
        <v>NO</v>
      </c>
      <c r="K448" s="23" t="s">
        <v>94</v>
      </c>
      <c r="N448" s="20" t="str">
        <f>_xlfn.XLOOKUP(A448,FACTURA!A:A,FACTURA!F:F,"NO APLICA")</f>
        <v>NO APLICA</v>
      </c>
    </row>
    <row r="449" spans="8:14" x14ac:dyDescent="0.25">
      <c r="H449" s="19" t="str">
        <f>_xlfn.XLOOKUP(A449,FACTURA!A:A,FACTURA!E:E,"NO PLANIFICADO")</f>
        <v>NO PLANIFICADO</v>
      </c>
      <c r="I449" s="19" t="str">
        <f t="shared" si="6"/>
        <v>NO</v>
      </c>
      <c r="K449" s="23" t="s">
        <v>94</v>
      </c>
      <c r="N449" s="20" t="str">
        <f>_xlfn.XLOOKUP(A449,FACTURA!A:A,FACTURA!F:F,"NO APLICA")</f>
        <v>NO APLICA</v>
      </c>
    </row>
    <row r="450" spans="8:14" x14ac:dyDescent="0.25">
      <c r="H450" s="19" t="str">
        <f>_xlfn.XLOOKUP(A450,FACTURA!A:A,FACTURA!E:E,"NO PLANIFICADO")</f>
        <v>NO PLANIFICADO</v>
      </c>
      <c r="I450" s="19" t="str">
        <f t="shared" ref="I450:I477" si="7">IF(OR(E450="V.TECNICA",E450="PROYECTO",E450="IMPLEMENTACION"),"SI","NO")</f>
        <v>NO</v>
      </c>
      <c r="K450" s="23" t="s">
        <v>94</v>
      </c>
      <c r="N450" s="20" t="str">
        <f>_xlfn.XLOOKUP(A450,FACTURA!A:A,FACTURA!F:F,"NO APLICA")</f>
        <v>NO APLICA</v>
      </c>
    </row>
    <row r="451" spans="8:14" x14ac:dyDescent="0.25">
      <c r="H451" s="19" t="str">
        <f>_xlfn.XLOOKUP(A451,FACTURA!A:A,FACTURA!E:E,"NO PLANIFICADO")</f>
        <v>NO PLANIFICADO</v>
      </c>
      <c r="I451" s="19" t="str">
        <f t="shared" si="7"/>
        <v>NO</v>
      </c>
      <c r="K451" s="23" t="s">
        <v>94</v>
      </c>
      <c r="N451" s="20" t="str">
        <f>_xlfn.XLOOKUP(A451,FACTURA!A:A,FACTURA!F:F,"NO APLICA")</f>
        <v>NO APLICA</v>
      </c>
    </row>
    <row r="452" spans="8:14" x14ac:dyDescent="0.25">
      <c r="H452" s="19" t="str">
        <f>_xlfn.XLOOKUP(A452,FACTURA!A:A,FACTURA!E:E,"NO PLANIFICADO")</f>
        <v>NO PLANIFICADO</v>
      </c>
      <c r="I452" s="19" t="str">
        <f t="shared" si="7"/>
        <v>NO</v>
      </c>
      <c r="K452" s="23" t="s">
        <v>94</v>
      </c>
      <c r="N452" s="20" t="str">
        <f>_xlfn.XLOOKUP(A452,FACTURA!A:A,FACTURA!F:F,"NO APLICA")</f>
        <v>NO APLICA</v>
      </c>
    </row>
    <row r="453" spans="8:14" x14ac:dyDescent="0.25">
      <c r="H453" s="19" t="str">
        <f>_xlfn.XLOOKUP(A453,FACTURA!A:A,FACTURA!E:E,"NO PLANIFICADO")</f>
        <v>NO PLANIFICADO</v>
      </c>
      <c r="I453" s="19" t="str">
        <f t="shared" si="7"/>
        <v>NO</v>
      </c>
      <c r="K453" s="23" t="s">
        <v>94</v>
      </c>
      <c r="N453" s="20" t="str">
        <f>_xlfn.XLOOKUP(A453,FACTURA!A:A,FACTURA!F:F,"NO APLICA")</f>
        <v>NO APLICA</v>
      </c>
    </row>
    <row r="454" spans="8:14" x14ac:dyDescent="0.25">
      <c r="H454" s="19" t="str">
        <f>_xlfn.XLOOKUP(A454,FACTURA!A:A,FACTURA!E:E,"NO PLANIFICADO")</f>
        <v>NO PLANIFICADO</v>
      </c>
      <c r="I454" s="19" t="str">
        <f t="shared" si="7"/>
        <v>NO</v>
      </c>
      <c r="K454" s="23" t="s">
        <v>94</v>
      </c>
      <c r="N454" s="20" t="str">
        <f>_xlfn.XLOOKUP(A454,FACTURA!A:A,FACTURA!F:F,"NO APLICA")</f>
        <v>NO APLICA</v>
      </c>
    </row>
    <row r="455" spans="8:14" x14ac:dyDescent="0.25">
      <c r="H455" s="19" t="str">
        <f>_xlfn.XLOOKUP(A455,FACTURA!A:A,FACTURA!E:E,"NO PLANIFICADO")</f>
        <v>NO PLANIFICADO</v>
      </c>
      <c r="I455" s="19" t="str">
        <f t="shared" si="7"/>
        <v>NO</v>
      </c>
      <c r="K455" s="23" t="s">
        <v>94</v>
      </c>
      <c r="N455" s="20" t="str">
        <f>_xlfn.XLOOKUP(A455,FACTURA!A:A,FACTURA!F:F,"NO APLICA")</f>
        <v>NO APLICA</v>
      </c>
    </row>
    <row r="456" spans="8:14" x14ac:dyDescent="0.25">
      <c r="H456" s="19" t="str">
        <f>_xlfn.XLOOKUP(A456,FACTURA!A:A,FACTURA!E:E,"NO PLANIFICADO")</f>
        <v>NO PLANIFICADO</v>
      </c>
      <c r="I456" s="19" t="str">
        <f t="shared" si="7"/>
        <v>NO</v>
      </c>
      <c r="K456" s="23" t="s">
        <v>94</v>
      </c>
      <c r="N456" s="20" t="str">
        <f>_xlfn.XLOOKUP(A456,FACTURA!A:A,FACTURA!F:F,"NO APLICA")</f>
        <v>NO APLICA</v>
      </c>
    </row>
    <row r="457" spans="8:14" x14ac:dyDescent="0.25">
      <c r="H457" s="19" t="str">
        <f ca="1">_xlfn.XLOOKUP(A457,FACTURA!A:A,FACTURA!E:E,"NO PLANIFICADO")</f>
        <v>PLANIFICADA</v>
      </c>
      <c r="I457" s="19" t="str">
        <f t="shared" si="7"/>
        <v>NO</v>
      </c>
      <c r="K457" s="23" t="s">
        <v>94</v>
      </c>
      <c r="N457" s="20" t="str">
        <f>_xlfn.XLOOKUP(A457,FACTURA!A:A,FACTURA!F:F,"NO APLICA")</f>
        <v>NO APLICA</v>
      </c>
    </row>
    <row r="458" spans="8:14" x14ac:dyDescent="0.25">
      <c r="H458" s="19" t="str">
        <f>_xlfn.XLOOKUP(A458,FACTURA!A:A,FACTURA!E:E,"NO PLANIFICADO")</f>
        <v>NO PLANIFICADO</v>
      </c>
      <c r="I458" s="19" t="str">
        <f t="shared" si="7"/>
        <v>NO</v>
      </c>
      <c r="K458" s="23" t="s">
        <v>94</v>
      </c>
      <c r="N458" s="20" t="str">
        <f>_xlfn.XLOOKUP(A458,FACTURA!A:A,FACTURA!F:F,"NO APLICA")</f>
        <v>NO APLICA</v>
      </c>
    </row>
    <row r="459" spans="8:14" x14ac:dyDescent="0.25">
      <c r="H459" s="19" t="str">
        <f>_xlfn.XLOOKUP(A459,FACTURA!A:A,FACTURA!E:E,"NO PLANIFICADO")</f>
        <v>NO PLANIFICADO</v>
      </c>
      <c r="I459" s="19" t="str">
        <f t="shared" si="7"/>
        <v>NO</v>
      </c>
      <c r="K459" s="23" t="s">
        <v>94</v>
      </c>
      <c r="N459" s="20">
        <f ca="1">_xlfn.XLOOKUP(A459,FACTURA!A:A,FACTURA!F:F,"NO APLICA")</f>
        <v>46102</v>
      </c>
    </row>
    <row r="460" spans="8:14" x14ac:dyDescent="0.25">
      <c r="H460" s="19" t="str">
        <f>_xlfn.XLOOKUP(A460,FACTURA!A:A,FACTURA!E:E,"NO PLANIFICADO")</f>
        <v>NO PLANIFICADO</v>
      </c>
      <c r="I460" s="19" t="str">
        <f t="shared" si="7"/>
        <v>NO</v>
      </c>
      <c r="K460" s="23" t="s">
        <v>94</v>
      </c>
      <c r="N460" s="20" t="str">
        <f>_xlfn.XLOOKUP(A460,FACTURA!A:A,FACTURA!F:F,"NO APLICA")</f>
        <v>NO APLICA</v>
      </c>
    </row>
    <row r="461" spans="8:14" x14ac:dyDescent="0.25">
      <c r="H461" s="19" t="str">
        <f>_xlfn.XLOOKUP(A461,FACTURA!A:A,FACTURA!E:E,"NO PLANIFICADO")</f>
        <v>NO PLANIFICADO</v>
      </c>
      <c r="I461" s="19" t="str">
        <f t="shared" si="7"/>
        <v>NO</v>
      </c>
      <c r="K461" s="23" t="s">
        <v>94</v>
      </c>
      <c r="N461" s="20" t="str">
        <f>_xlfn.XLOOKUP(A461,FACTURA!A:A,FACTURA!F:F,"NO APLICA")</f>
        <v>NO APLICA</v>
      </c>
    </row>
    <row r="462" spans="8:14" x14ac:dyDescent="0.25">
      <c r="H462" s="19" t="str">
        <f>_xlfn.XLOOKUP(A462,FACTURA!A:A,FACTURA!E:E,"NO PLANIFICADO")</f>
        <v>NO PLANIFICADO</v>
      </c>
      <c r="I462" s="19" t="str">
        <f t="shared" si="7"/>
        <v>NO</v>
      </c>
      <c r="K462" s="23" t="s">
        <v>94</v>
      </c>
      <c r="N462" s="20" t="str">
        <f>_xlfn.XLOOKUP(A462,FACTURA!A:A,FACTURA!F:F,"NO APLICA")</f>
        <v>NO APLICA</v>
      </c>
    </row>
    <row r="463" spans="8:14" x14ac:dyDescent="0.25">
      <c r="H463" s="19" t="str">
        <f>_xlfn.XLOOKUP(A463,FACTURA!A:A,FACTURA!E:E,"NO PLANIFICADO")</f>
        <v>NO PLANIFICADO</v>
      </c>
      <c r="I463" s="19" t="str">
        <f t="shared" si="7"/>
        <v>NO</v>
      </c>
      <c r="K463" s="23" t="s">
        <v>94</v>
      </c>
      <c r="N463" s="20">
        <f ca="1">_xlfn.XLOOKUP(A463,FACTURA!A:A,FACTURA!F:F,"NO APLICA")</f>
        <v>46102</v>
      </c>
    </row>
    <row r="464" spans="8:14" x14ac:dyDescent="0.25">
      <c r="H464" s="19" t="str">
        <f>_xlfn.XLOOKUP(A464,FACTURA!A:A,FACTURA!E:E,"NO PLANIFICADO")</f>
        <v>NO PLANIFICADO</v>
      </c>
      <c r="I464" s="19" t="str">
        <f t="shared" si="7"/>
        <v>NO</v>
      </c>
      <c r="K464" s="23" t="s">
        <v>94</v>
      </c>
      <c r="N464" s="20" t="str">
        <f>_xlfn.XLOOKUP(A464,FACTURA!A:A,FACTURA!F:F,"NO APLICA")</f>
        <v>NO APLICA</v>
      </c>
    </row>
    <row r="465" spans="8:14" x14ac:dyDescent="0.25">
      <c r="H465" s="19" t="str">
        <f>_xlfn.XLOOKUP(A465,FACTURA!A:A,FACTURA!E:E,"NO PLANIFICADO")</f>
        <v>NO PLANIFICADO</v>
      </c>
      <c r="I465" s="19" t="str">
        <f t="shared" si="7"/>
        <v>NO</v>
      </c>
      <c r="K465" s="23" t="s">
        <v>94</v>
      </c>
      <c r="N465" s="20" t="str">
        <f>_xlfn.XLOOKUP(A465,FACTURA!A:A,FACTURA!F:F,"NO APLICA")</f>
        <v>NO APLICA</v>
      </c>
    </row>
    <row r="466" spans="8:14" x14ac:dyDescent="0.25">
      <c r="H466" s="19" t="str">
        <f>_xlfn.XLOOKUP(A466,FACTURA!A:A,FACTURA!E:E,"NO PLANIFICADO")</f>
        <v>NO PLANIFICADO</v>
      </c>
      <c r="I466" s="19" t="str">
        <f t="shared" si="7"/>
        <v>NO</v>
      </c>
      <c r="K466" s="23" t="s">
        <v>94</v>
      </c>
      <c r="N466" s="20" t="str">
        <f>_xlfn.XLOOKUP(A466,FACTURA!A:A,FACTURA!F:F,"NO APLICA")</f>
        <v>NO APLICA</v>
      </c>
    </row>
    <row r="467" spans="8:14" x14ac:dyDescent="0.25">
      <c r="H467" s="19" t="str">
        <f>_xlfn.XLOOKUP(A467,FACTURA!A:A,FACTURA!E:E,"NO PLANIFICADO")</f>
        <v>NO PLANIFICADO</v>
      </c>
      <c r="I467" s="19" t="str">
        <f t="shared" si="7"/>
        <v>NO</v>
      </c>
      <c r="K467" s="23" t="s">
        <v>94</v>
      </c>
      <c r="N467" s="20" t="str">
        <f>_xlfn.XLOOKUP(A467,FACTURA!A:A,FACTURA!F:F,"NO APLICA")</f>
        <v>NO APLICA</v>
      </c>
    </row>
    <row r="468" spans="8:14" x14ac:dyDescent="0.25">
      <c r="H468" s="19" t="str">
        <f>_xlfn.XLOOKUP(A468,FACTURA!A:A,FACTURA!E:E,"NO PLANIFICADO")</f>
        <v>NO PLANIFICADO</v>
      </c>
      <c r="I468" s="19" t="str">
        <f t="shared" si="7"/>
        <v>NO</v>
      </c>
      <c r="K468" s="23" t="s">
        <v>94</v>
      </c>
      <c r="N468" s="20" t="str">
        <f>_xlfn.XLOOKUP(A468,FACTURA!A:A,FACTURA!F:F,"NO APLICA")</f>
        <v>NO APLICA</v>
      </c>
    </row>
    <row r="469" spans="8:14" x14ac:dyDescent="0.25">
      <c r="H469" s="19" t="str">
        <f>_xlfn.XLOOKUP(A469,FACTURA!A:A,FACTURA!E:E,"NO PLANIFICADO")</f>
        <v>NO PLANIFICADO</v>
      </c>
      <c r="I469" s="19" t="str">
        <f t="shared" si="7"/>
        <v>NO</v>
      </c>
      <c r="K469" s="23" t="s">
        <v>94</v>
      </c>
      <c r="N469" s="20" t="str">
        <f>_xlfn.XLOOKUP(A469,FACTURA!A:A,FACTURA!F:F,"NO APLICA")</f>
        <v>NO APLICA</v>
      </c>
    </row>
    <row r="470" spans="8:14" x14ac:dyDescent="0.25">
      <c r="H470" s="19" t="str">
        <f>_xlfn.XLOOKUP(A470,FACTURA!A:A,FACTURA!E:E,"NO PLANIFICADO")</f>
        <v>NO PLANIFICADO</v>
      </c>
      <c r="I470" s="19" t="str">
        <f t="shared" si="7"/>
        <v>NO</v>
      </c>
      <c r="K470" s="23" t="s">
        <v>94</v>
      </c>
      <c r="N470" s="20" t="str">
        <f>_xlfn.XLOOKUP(A470,FACTURA!A:A,FACTURA!F:F,"NO APLICA")</f>
        <v>NO APLICA</v>
      </c>
    </row>
    <row r="471" spans="8:14" x14ac:dyDescent="0.25">
      <c r="H471" s="19" t="str">
        <f>_xlfn.XLOOKUP(A471,FACTURA!A:A,FACTURA!E:E,"NO PLANIFICADO")</f>
        <v>NO PLANIFICADO</v>
      </c>
      <c r="I471" s="19" t="str">
        <f t="shared" si="7"/>
        <v>NO</v>
      </c>
      <c r="K471" s="23" t="s">
        <v>94</v>
      </c>
      <c r="N471" s="20" t="str">
        <f>_xlfn.XLOOKUP(A471,FACTURA!A:A,FACTURA!F:F,"NO APLICA")</f>
        <v>NO APLICA</v>
      </c>
    </row>
    <row r="472" spans="8:14" x14ac:dyDescent="0.25">
      <c r="H472" s="19" t="str">
        <f>_xlfn.XLOOKUP(A472,FACTURA!A:A,FACTURA!E:E,"NO PLANIFICADO")</f>
        <v>NO PLANIFICADO</v>
      </c>
      <c r="I472" s="19" t="str">
        <f t="shared" si="7"/>
        <v>NO</v>
      </c>
      <c r="K472" s="23" t="s">
        <v>94</v>
      </c>
      <c r="N472" s="20" t="str">
        <f>_xlfn.XLOOKUP(A472,FACTURA!A:A,FACTURA!F:F,"NO APLICA")</f>
        <v>NO APLICA</v>
      </c>
    </row>
    <row r="473" spans="8:14" x14ac:dyDescent="0.25">
      <c r="H473" s="19" t="str">
        <f>_xlfn.XLOOKUP(A473,FACTURA!A:A,FACTURA!E:E,"NO PLANIFICADO")</f>
        <v>NO PLANIFICADO</v>
      </c>
      <c r="I473" s="19" t="str">
        <f t="shared" si="7"/>
        <v>NO</v>
      </c>
      <c r="K473" s="23" t="s">
        <v>94</v>
      </c>
      <c r="N473" s="20" t="str">
        <f>_xlfn.XLOOKUP(A473,FACTURA!A:A,FACTURA!F:F,"NO APLICA")</f>
        <v>NO APLICA</v>
      </c>
    </row>
    <row r="474" spans="8:14" x14ac:dyDescent="0.25">
      <c r="H474" s="19" t="str">
        <f>_xlfn.XLOOKUP(A474,FACTURA!A:A,FACTURA!E:E,"NO PLANIFICADO")</f>
        <v>NO PLANIFICADO</v>
      </c>
      <c r="I474" s="19" t="str">
        <f t="shared" si="7"/>
        <v>NO</v>
      </c>
      <c r="K474" s="23" t="s">
        <v>94</v>
      </c>
      <c r="N474" s="20" t="str">
        <f>_xlfn.XLOOKUP(A474,FACTURA!A:A,FACTURA!F:F,"NO APLICA")</f>
        <v>NO APLICA</v>
      </c>
    </row>
    <row r="475" spans="8:14" x14ac:dyDescent="0.25">
      <c r="H475" s="19" t="str">
        <f>_xlfn.XLOOKUP(A475,FACTURA!A:A,FACTURA!E:E,"NO PLANIFICADO")</f>
        <v>NO PLANIFICADO</v>
      </c>
      <c r="I475" s="19" t="str">
        <f t="shared" si="7"/>
        <v>NO</v>
      </c>
      <c r="K475" s="23" t="s">
        <v>94</v>
      </c>
      <c r="N475" s="20" t="str">
        <f>_xlfn.XLOOKUP(A475,FACTURA!A:A,FACTURA!F:F,"NO APLICA")</f>
        <v>NO APLICA</v>
      </c>
    </row>
    <row r="476" spans="8:14" x14ac:dyDescent="0.25">
      <c r="H476" s="19" t="str">
        <f ca="1">_xlfn.XLOOKUP(A476,FACTURA!A:A,FACTURA!E:E,"NO PLANIFICADO")</f>
        <v>PLANIFICADA</v>
      </c>
      <c r="I476" s="19" t="str">
        <f t="shared" si="7"/>
        <v>NO</v>
      </c>
      <c r="K476" s="23" t="s">
        <v>94</v>
      </c>
      <c r="N476" s="20" t="str">
        <f>_xlfn.XLOOKUP(A476,FACTURA!A:A,FACTURA!F:F,"NO APLICA")</f>
        <v>NO APLICA</v>
      </c>
    </row>
    <row r="477" spans="8:14" x14ac:dyDescent="0.25">
      <c r="H477" s="19" t="str">
        <f>_xlfn.XLOOKUP(A477,FACTURA!A:A,FACTURA!E:E,"NO PLANIFICADO")</f>
        <v>NO PLANIFICADO</v>
      </c>
      <c r="I477" s="19" t="str">
        <f t="shared" si="7"/>
        <v>NO</v>
      </c>
      <c r="K477" s="23" t="s">
        <v>94</v>
      </c>
      <c r="N477" s="20">
        <f ca="1">_xlfn.XLOOKUP(A477,FACTURA!A:A,FACTURA!F:F,"NO APLICA")</f>
        <v>46102</v>
      </c>
    </row>
  </sheetData>
  <phoneticPr fontId="6" type="noConversion"/>
  <conditionalFormatting sqref="K2">
    <cfRule type="timePeriod" dxfId="0" priority="1" timePeriod="tomorrow">
      <formula>FLOOR(K2,1)=TODAY()+1</formula>
    </cfRule>
  </conditionalFormatting>
  <dataValidations count="3">
    <dataValidation type="list" allowBlank="1" showInputMessage="1" showErrorMessage="1" sqref="I2:I477" xr:uid="{73F9EE51-0E1F-4D94-9395-1291429A1A02}">
      <formula1>"SI,NO"</formula1>
    </dataValidation>
    <dataValidation type="list" allowBlank="1" showInputMessage="1" showErrorMessage="1" sqref="K2:K477" xr:uid="{3152473B-3949-4959-9DAE-8CCF35252476}">
      <formula1>"URGENTE,ALTA,MEDIA,BAJA"</formula1>
    </dataValidation>
    <dataValidation type="list" allowBlank="1" showInputMessage="1" showErrorMessage="1" sqref="E2:E23 E25:E38" xr:uid="{B5D510E4-8831-40EB-96FA-45D4ABB2137F}">
      <formula1>"M.CORRECTIVO,M.PLANIFICADO,V.TECNICA,IMPLEMENTACION,PROYECTO,ADMINISTRATIVO"</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A0F7-DA0F-4DCB-ACC0-530139B82533}">
  <dimension ref="A1:F169"/>
  <sheetViews>
    <sheetView workbookViewId="0">
      <selection activeCell="H10" sqref="H10"/>
    </sheetView>
  </sheetViews>
  <sheetFormatPr baseColWidth="10" defaultColWidth="11.42578125" defaultRowHeight="15" x14ac:dyDescent="0.25"/>
  <cols>
    <col min="1" max="1" width="13" style="19" customWidth="1"/>
    <col min="2" max="2" width="20" bestFit="1" customWidth="1"/>
    <col min="3" max="3" width="20.5703125" bestFit="1" customWidth="1"/>
    <col min="4" max="4" width="14.5703125" style="19" bestFit="1" customWidth="1"/>
    <col min="5" max="5" width="53.28515625" style="19" bestFit="1" customWidth="1"/>
    <col min="6" max="6" width="13.42578125" customWidth="1"/>
  </cols>
  <sheetData>
    <row r="1" spans="1:6" x14ac:dyDescent="0.25">
      <c r="A1" s="19" t="s">
        <v>62</v>
      </c>
      <c r="B1" t="s">
        <v>109</v>
      </c>
      <c r="C1" t="s">
        <v>110</v>
      </c>
      <c r="D1" s="19" t="s">
        <v>111</v>
      </c>
      <c r="E1" s="19" t="s">
        <v>112</v>
      </c>
      <c r="F1" s="14" t="s">
        <v>174</v>
      </c>
    </row>
    <row r="2" spans="1:6" ht="30" x14ac:dyDescent="0.25">
      <c r="A2" t="s">
        <v>98</v>
      </c>
      <c r="B2" s="24">
        <v>46106</v>
      </c>
      <c r="C2" s="27" t="s">
        <v>168</v>
      </c>
      <c r="D2" s="19" t="str">
        <f>_xlfn.XLOOKUP(Tabla1[[#This Row],[ ID_ORDEN ]],ORDENES!A:A,ORDENES!C:C)</f>
        <v>LN</v>
      </c>
      <c r="E2" s="19" t="str">
        <f>_xlfn.XLOOKUP(Tabla1[[#This Row],[ ID_ORDEN ]],ORDENES!A:A,ORDENES!D:D)</f>
        <v xml:space="preserve">PDSLL PORTOVIEJO, PTV  </v>
      </c>
    </row>
    <row r="3" spans="1:6" ht="30" x14ac:dyDescent="0.25">
      <c r="A3" t="s">
        <v>99</v>
      </c>
      <c r="B3" s="24">
        <v>46106</v>
      </c>
      <c r="C3" s="27" t="s">
        <v>169</v>
      </c>
      <c r="D3" s="19" t="str">
        <f>_xlfn.XLOOKUP(Tabla1[[#This Row],[ ID_ORDEN ]],ORDENES!A:A,ORDENES!C:C)</f>
        <v>LN</v>
      </c>
      <c r="E3" s="19" t="str">
        <f>_xlfn.XLOOKUP(Tabla1[[#This Row],[ ID_ORDEN ]],ORDENES!A:A,ORDENES!D:D)</f>
        <v>PDSLL HIPER JIPIJAPA, JPJ</v>
      </c>
    </row>
    <row r="4" spans="1:6" ht="30" x14ac:dyDescent="0.25">
      <c r="A4" t="s">
        <v>100</v>
      </c>
      <c r="B4" s="24">
        <v>46106</v>
      </c>
      <c r="C4" s="27" t="s">
        <v>169</v>
      </c>
      <c r="D4" s="19" t="str">
        <f>_xlfn.XLOOKUP(Tabla1[[#This Row],[ ID_ORDEN ]],ORDENES!A:A,ORDENES!C:C)</f>
        <v>LN</v>
      </c>
      <c r="E4" s="19" t="str">
        <f>_xlfn.XLOOKUP(Tabla1[[#This Row],[ ID_ORDEN ]],ORDENES!A:A,ORDENES!D:D)</f>
        <v>PDSLL JIPIJAPA, JPJ</v>
      </c>
    </row>
    <row r="5" spans="1:6" x14ac:dyDescent="0.25">
      <c r="A5" t="s">
        <v>102</v>
      </c>
      <c r="B5" s="24">
        <v>46106</v>
      </c>
      <c r="C5" s="27" t="s">
        <v>170</v>
      </c>
      <c r="D5" s="19" t="str">
        <f>_xlfn.XLOOKUP(Tabla1[[#This Row],[ ID_ORDEN ]],ORDENES!A:A,ORDENES!C:C)</f>
        <v>DUEÑO OFI UIO</v>
      </c>
      <c r="E5" s="19" t="str">
        <f>_xlfn.XLOOKUP(Tabla1[[#This Row],[ ID_ORDEN ]],ORDENES!A:A,ORDENES!D:D)</f>
        <v>Oficina Quito</v>
      </c>
    </row>
    <row r="6" spans="1:6" x14ac:dyDescent="0.25">
      <c r="A6" t="s">
        <v>103</v>
      </c>
      <c r="B6" s="24">
        <v>46106</v>
      </c>
      <c r="C6" s="27" t="s">
        <v>170</v>
      </c>
      <c r="D6" s="19" t="str">
        <f>_xlfn.XLOOKUP(Tabla1[[#This Row],[ ID_ORDEN ]],ORDENES!A:A,ORDENES!C:C)</f>
        <v>LN</v>
      </c>
      <c r="E6" s="19" t="str">
        <f>_xlfn.XLOOKUP(Tabla1[[#This Row],[ ID_ORDEN ]],ORDENES!A:A,ORDENES!D:D)</f>
        <v>PDSLL LA FLORIDA  UIO</v>
      </c>
    </row>
    <row r="7" spans="1:6" x14ac:dyDescent="0.25">
      <c r="A7" t="s">
        <v>104</v>
      </c>
      <c r="B7" s="24">
        <v>46106</v>
      </c>
      <c r="C7" s="27" t="s">
        <v>170</v>
      </c>
      <c r="D7" s="19" t="str">
        <f>_xlfn.XLOOKUP(Tabla1[[#This Row],[ ID_ORDEN ]],ORDENES!A:A,ORDENES!C:C)</f>
        <v>LN</v>
      </c>
      <c r="E7" s="19" t="str">
        <f>_xlfn.XLOOKUP(Tabla1[[#This Row],[ ID_ORDEN ]],ORDENES!A:A,ORDENES!D:D)</f>
        <v>PDSLL VACA DE CASTRO</v>
      </c>
    </row>
    <row r="8" spans="1:6" x14ac:dyDescent="0.25">
      <c r="A8" t="s">
        <v>105</v>
      </c>
      <c r="B8" s="24">
        <v>46106</v>
      </c>
      <c r="C8" s="27" t="s">
        <v>170</v>
      </c>
      <c r="D8" s="19" t="str">
        <f>_xlfn.XLOOKUP(Tabla1[[#This Row],[ ID_ORDEN ]],ORDENES!A:A,ORDENES!C:C)</f>
        <v>LN</v>
      </c>
      <c r="E8" s="19" t="str">
        <f>_xlfn.XLOOKUP(Tabla1[[#This Row],[ ID_ORDEN ]],ORDENES!A:A,ORDENES!D:D)</f>
        <v>PDSLL COTOCOLLAO, UIO</v>
      </c>
    </row>
    <row r="9" spans="1:6" x14ac:dyDescent="0.25">
      <c r="A9" t="s">
        <v>106</v>
      </c>
      <c r="B9" s="24">
        <v>46106</v>
      </c>
      <c r="C9" s="27" t="s">
        <v>171</v>
      </c>
      <c r="D9" s="19" t="str">
        <f>_xlfn.XLOOKUP(Tabla1[[#This Row],[ ID_ORDEN ]],ORDENES!A:A,ORDENES!C:C)</f>
        <v>LN</v>
      </c>
      <c r="E9" s="19" t="str">
        <f>_xlfn.XLOOKUP(Tabla1[[#This Row],[ ID_ORDEN ]],ORDENES!A:A,ORDENES!D:D)</f>
        <v>PDSLL LATACUNGA EXPRESS,  LAT</v>
      </c>
    </row>
    <row r="10" spans="1:6" x14ac:dyDescent="0.25">
      <c r="A10" t="s">
        <v>107</v>
      </c>
      <c r="B10" s="24">
        <v>46106</v>
      </c>
      <c r="C10" s="27" t="s">
        <v>171</v>
      </c>
      <c r="D10" s="19" t="str">
        <f>_xlfn.XLOOKUP(Tabla1[[#This Row],[ ID_ORDEN ]],ORDENES!A:A,ORDENES!C:C)</f>
        <v>LN</v>
      </c>
      <c r="E10" s="19" t="str">
        <f>_xlfn.XLOOKUP(Tabla1[[#This Row],[ ID_ORDEN ]],ORDENES!A:A,ORDENES!D:D)</f>
        <v>PDSLL AMBATO 1</v>
      </c>
    </row>
    <row r="11" spans="1:6" x14ac:dyDescent="0.25">
      <c r="A11" t="s">
        <v>108</v>
      </c>
      <c r="B11" s="24">
        <v>46106</v>
      </c>
      <c r="C11" s="27" t="s">
        <v>171</v>
      </c>
      <c r="D11" s="19" t="str">
        <f>_xlfn.XLOOKUP(Tabla1[[#This Row],[ ID_ORDEN ]],ORDENES!A:A,ORDENES!C:C)</f>
        <v>LN</v>
      </c>
      <c r="E11" s="19" t="str">
        <f>_xlfn.XLOOKUP(Tabla1[[#This Row],[ ID_ORDEN ]],ORDENES!A:A,ORDENES!D:D)</f>
        <v>PDSLL AKI EL CONDOR,AMB, LOCAL 14</v>
      </c>
    </row>
    <row r="12" spans="1:6" x14ac:dyDescent="0.25">
      <c r="A12" t="s">
        <v>161</v>
      </c>
      <c r="B12" s="24">
        <v>46106</v>
      </c>
      <c r="C12" s="27" t="s">
        <v>172</v>
      </c>
      <c r="D12" s="19" t="str">
        <f>_xlfn.XLOOKUP(Tabla1[[#This Row],[ ID_ORDEN ]],ORDENES!A:A,ORDENES!C:C)</f>
        <v>LN</v>
      </c>
      <c r="E12" s="19" t="str">
        <f>_xlfn.XLOOKUP(Tabla1[[#This Row],[ ID_ORDEN ]],ORDENES!A:A,ORDENES!D:D)</f>
        <v>PDSLL HUAQUILLAS</v>
      </c>
    </row>
    <row r="13" spans="1:6" x14ac:dyDescent="0.25">
      <c r="A13" t="s">
        <v>162</v>
      </c>
      <c r="B13" s="24">
        <v>46106</v>
      </c>
      <c r="C13" s="27" t="s">
        <v>172</v>
      </c>
      <c r="D13" s="19" t="str">
        <f>_xlfn.XLOOKUP(Tabla1[[#This Row],[ ID_ORDEN ]],ORDENES!A:A,ORDENES!C:C)</f>
        <v>LN</v>
      </c>
      <c r="E13" s="19" t="str">
        <f>_xlfn.XLOOKUP(Tabla1[[#This Row],[ ID_ORDEN ]],ORDENES!A:A,ORDENES!D:D)</f>
        <v xml:space="preserve">PDSLL SANTA ROSA </v>
      </c>
    </row>
    <row r="14" spans="1:6" x14ac:dyDescent="0.25">
      <c r="A14" t="s">
        <v>163</v>
      </c>
      <c r="B14" s="24">
        <v>46106</v>
      </c>
      <c r="C14" s="26" t="s">
        <v>173</v>
      </c>
      <c r="D14" s="19" t="str">
        <f>_xlfn.XLOOKUP(Tabla1[[#This Row],[ ID_ORDEN ]],ORDENES!A:A,ORDENES!C:C)</f>
        <v>LN</v>
      </c>
      <c r="E14" s="19" t="str">
        <f>_xlfn.XLOOKUP(Tabla1[[#This Row],[ ID_ORDEN ]],ORDENES!A:A,ORDENES!D:D)</f>
        <v>PDSLL EL ARENAL EXPRESS, CUE</v>
      </c>
    </row>
    <row r="15" spans="1:6" x14ac:dyDescent="0.25">
      <c r="A15" t="s">
        <v>186</v>
      </c>
      <c r="B15" s="24">
        <v>46107</v>
      </c>
      <c r="C15" s="27" t="s">
        <v>172</v>
      </c>
      <c r="D15" s="19" t="str">
        <f>_xlfn.XLOOKUP(Tabla1[[#This Row],[ ID_ORDEN ]],ORDENES!A:A,ORDENES!C:C)</f>
        <v>LN</v>
      </c>
      <c r="E15" s="19" t="str">
        <f>_xlfn.XLOOKUP(Tabla1[[#This Row],[ ID_ORDEN ]],ORDENES!A:A,ORDENES!D:D)</f>
        <v>PDSLL CC SHOPPING MINI PLUS PASAJE, PAS</v>
      </c>
    </row>
    <row r="16" spans="1:6" ht="30" x14ac:dyDescent="0.25">
      <c r="A16" t="s">
        <v>187</v>
      </c>
      <c r="B16" s="24">
        <v>46107</v>
      </c>
      <c r="C16" s="27" t="s">
        <v>169</v>
      </c>
      <c r="D16" s="19" t="str">
        <f>_xlfn.XLOOKUP(Tabla1[[#This Row],[ ID_ORDEN ]],ORDENES!A:A,ORDENES!C:C)</f>
        <v>LN</v>
      </c>
      <c r="E16" s="19" t="str">
        <f>_xlfn.XLOOKUP(Tabla1[[#This Row],[ ID_ORDEN ]],ORDENES!A:A,ORDENES!D:D)</f>
        <v>PDSLL MONTECRISTI  HYBRIDO, MTC</v>
      </c>
    </row>
    <row r="17" spans="1:5" ht="30" x14ac:dyDescent="0.25">
      <c r="A17" t="s">
        <v>188</v>
      </c>
      <c r="B17" s="24">
        <v>46107</v>
      </c>
      <c r="C17" s="27" t="s">
        <v>168</v>
      </c>
      <c r="D17" s="19" t="str">
        <f>_xlfn.XLOOKUP(Tabla1[[#This Row],[ ID_ORDEN ]],ORDENES!A:A,ORDENES!C:C)</f>
        <v>LN</v>
      </c>
      <c r="E17" s="19" t="str">
        <f>_xlfn.XLOOKUP(Tabla1[[#This Row],[ ID_ORDEN ]],ORDENES!A:A,ORDENES!D:D)</f>
        <v>PDSLL CHONE</v>
      </c>
    </row>
    <row r="18" spans="1:5" ht="30" x14ac:dyDescent="0.25">
      <c r="A18" t="s">
        <v>189</v>
      </c>
      <c r="B18" s="24">
        <v>46107</v>
      </c>
      <c r="C18" s="27" t="s">
        <v>168</v>
      </c>
      <c r="D18" s="19" t="str">
        <f>_xlfn.XLOOKUP(Tabla1[[#This Row],[ ID_ORDEN ]],ORDENES!A:A,ORDENES!C:C)</f>
        <v>LN</v>
      </c>
      <c r="E18" s="19" t="str">
        <f>_xlfn.XLOOKUP(Tabla1[[#This Row],[ ID_ORDEN ]],ORDENES!A:A,ORDENES!D:D)</f>
        <v>PDSLL CALCETA</v>
      </c>
    </row>
    <row r="19" spans="1:5" x14ac:dyDescent="0.25">
      <c r="A19" t="s">
        <v>190</v>
      </c>
      <c r="B19" s="24">
        <v>46107</v>
      </c>
      <c r="C19" s="27" t="s">
        <v>170</v>
      </c>
      <c r="D19" s="19" t="str">
        <f>_xlfn.XLOOKUP(Tabla1[[#This Row],[ ID_ORDEN ]],ORDENES!A:A,ORDENES!C:C)</f>
        <v>QUIFATEX</v>
      </c>
      <c r="E19" s="19" t="str">
        <f>_xlfn.XLOOKUP(Tabla1[[#This Row],[ ID_ORDEN ]],ORDENES!A:A,ORDENES!D:D)</f>
        <v>QUIFATEX UIO</v>
      </c>
    </row>
    <row r="20" spans="1:5" x14ac:dyDescent="0.25">
      <c r="A20" t="s">
        <v>191</v>
      </c>
      <c r="B20" s="24">
        <v>46107</v>
      </c>
      <c r="C20" s="27" t="s">
        <v>170</v>
      </c>
      <c r="D20" s="19" t="str">
        <f>_xlfn.XLOOKUP(Tabla1[[#This Row],[ ID_ORDEN ]],ORDENES!A:A,ORDENES!C:C)</f>
        <v>LN</v>
      </c>
      <c r="E20" s="19" t="str">
        <f>_xlfn.XLOOKUP(Tabla1[[#This Row],[ ID_ORDEN ]],ORDENES!A:A,ORDENES!D:D)</f>
        <v xml:space="preserve">PDSLL PLAZA TEATRO  </v>
      </c>
    </row>
    <row r="21" spans="1:5" x14ac:dyDescent="0.25">
      <c r="A21" t="s">
        <v>192</v>
      </c>
      <c r="B21" s="24">
        <v>46107</v>
      </c>
      <c r="C21" s="27" t="s">
        <v>171</v>
      </c>
      <c r="D21" s="19" t="str">
        <f>_xlfn.XLOOKUP(Tabla1[[#This Row],[ ID_ORDEN ]],ORDENES!A:A,ORDENES!C:C)</f>
        <v>LN</v>
      </c>
      <c r="E21" s="19" t="str">
        <f>_xlfn.XLOOKUP(Tabla1[[#This Row],[ ID_ORDEN ]],ORDENES!A:A,ORDENES!D:D)</f>
        <v>PDSLL PATATE</v>
      </c>
    </row>
    <row r="22" spans="1:5" x14ac:dyDescent="0.25">
      <c r="A22" t="s">
        <v>193</v>
      </c>
      <c r="B22" s="24">
        <v>46107</v>
      </c>
      <c r="C22" s="27" t="s">
        <v>171</v>
      </c>
      <c r="D22" s="19" t="str">
        <f>_xlfn.XLOOKUP(Tabla1[[#This Row],[ ID_ORDEN ]],ORDENES!A:A,ORDENES!C:C)</f>
        <v>LN</v>
      </c>
      <c r="E22" s="19" t="str">
        <f>_xlfn.XLOOKUP(Tabla1[[#This Row],[ ID_ORDEN ]],ORDENES!A:A,ORDENES!D:D)</f>
        <v>PDSLL GUANO</v>
      </c>
    </row>
    <row r="23" spans="1:5" x14ac:dyDescent="0.25">
      <c r="A23" t="s">
        <v>194</v>
      </c>
      <c r="B23" s="24">
        <v>46107</v>
      </c>
      <c r="C23" s="27" t="s">
        <v>171</v>
      </c>
      <c r="D23" s="19" t="str">
        <f>_xlfn.XLOOKUP(Tabla1[[#This Row],[ ID_ORDEN ]],ORDENES!A:A,ORDENES!C:C)</f>
        <v>LN</v>
      </c>
      <c r="E23" s="19" t="str">
        <f>_xlfn.XLOOKUP(Tabla1[[#This Row],[ ID_ORDEN ]],ORDENES!A:A,ORDENES!D:D)</f>
        <v>PDSLL GUAMOTE</v>
      </c>
    </row>
    <row r="24" spans="1:5" x14ac:dyDescent="0.25">
      <c r="A24" t="s">
        <v>195</v>
      </c>
      <c r="B24" s="24">
        <v>46107</v>
      </c>
      <c r="C24" s="26" t="s">
        <v>173</v>
      </c>
      <c r="D24" s="19" t="str">
        <f>_xlfn.XLOOKUP(Tabla1[[#This Row],[ ID_ORDEN ]],ORDENES!A:A,ORDENES!C:C)</f>
        <v>LN</v>
      </c>
      <c r="E24" s="19" t="str">
        <f>_xlfn.XLOOKUP(Tabla1[[#This Row],[ ID_ORDEN ]],ORDENES!A:A,ORDENES!D:D)</f>
        <v>PDSLL AV DON BOSCO CUENCA</v>
      </c>
    </row>
    <row r="25" spans="1:5" x14ac:dyDescent="0.25">
      <c r="A25" t="s">
        <v>205</v>
      </c>
      <c r="B25" s="24">
        <v>46108</v>
      </c>
      <c r="C25" s="27" t="s">
        <v>170</v>
      </c>
      <c r="D25" s="19" t="str">
        <f>_xlfn.XLOOKUP(Tabla1[[#This Row],[ ID_ORDEN ]],ORDENES!A:A,ORDENES!C:C)</f>
        <v>LN</v>
      </c>
      <c r="E25" s="19" t="str">
        <f>_xlfn.XLOOKUP(Tabla1[[#This Row],[ ID_ORDEN ]],ORDENES!A:A,ORDENES!D:D)</f>
        <v>PDSLL MANUEL ESPINOZA, UIO</v>
      </c>
    </row>
    <row r="26" spans="1:5" x14ac:dyDescent="0.25">
      <c r="A26" t="s">
        <v>206</v>
      </c>
      <c r="B26" s="24">
        <v>46108</v>
      </c>
      <c r="C26" s="27" t="s">
        <v>170</v>
      </c>
      <c r="D26" s="19" t="str">
        <f>_xlfn.XLOOKUP(Tabla1[[#This Row],[ ID_ORDEN ]],ORDENES!A:A,ORDENES!C:C)</f>
        <v>LN</v>
      </c>
      <c r="E26" s="19" t="str">
        <f>_xlfn.XLOOKUP(Tabla1[[#This Row],[ ID_ORDEN ]],ORDENES!A:A,ORDENES!D:D)</f>
        <v xml:space="preserve">PDSLL RIO COCA </v>
      </c>
    </row>
    <row r="27" spans="1:5" x14ac:dyDescent="0.25">
      <c r="A27" t="s">
        <v>207</v>
      </c>
      <c r="B27" s="24">
        <v>46108</v>
      </c>
      <c r="C27" s="27" t="s">
        <v>172</v>
      </c>
      <c r="D27" s="19" t="str">
        <f>_xlfn.XLOOKUP(Tabla1[[#This Row],[ ID_ORDEN ]],ORDENES!A:A,ORDENES!C:C)</f>
        <v>LN</v>
      </c>
      <c r="E27" s="19" t="str">
        <f>_xlfn.XLOOKUP(Tabla1[[#This Row],[ ID_ORDEN ]],ORDENES!A:A,ORDENES!D:D)</f>
        <v>PDSLL MACHALA, MCH</v>
      </c>
    </row>
    <row r="28" spans="1:5" x14ac:dyDescent="0.25">
      <c r="A28" t="s">
        <v>208</v>
      </c>
      <c r="B28" s="24">
        <v>46108</v>
      </c>
      <c r="C28" s="27" t="s">
        <v>172</v>
      </c>
      <c r="D28" s="19" t="str">
        <f>_xlfn.XLOOKUP(Tabla1[[#This Row],[ ID_ORDEN ]],ORDENES!A:A,ORDENES!C:C)</f>
        <v>LN</v>
      </c>
      <c r="E28" s="19" t="str">
        <f>_xlfn.XLOOKUP(Tabla1[[#This Row],[ ID_ORDEN ]],ORDENES!A:A,ORDENES!D:D)</f>
        <v>PDSLL T. TERRESTRE MACHALA, MCH PB #2  BLOQUE 2</v>
      </c>
    </row>
    <row r="29" spans="1:5" x14ac:dyDescent="0.25">
      <c r="A29" t="s">
        <v>209</v>
      </c>
      <c r="B29" s="24">
        <v>46108</v>
      </c>
      <c r="C29" s="27" t="s">
        <v>171</v>
      </c>
      <c r="D29" s="19" t="str">
        <f>_xlfn.XLOOKUP(Tabla1[[#This Row],[ ID_ORDEN ]],ORDENES!A:A,ORDENES!C:C)</f>
        <v>LN</v>
      </c>
      <c r="E29" s="19" t="str">
        <f>_xlfn.XLOOKUP(Tabla1[[#This Row],[ ID_ORDEN ]],ORDENES!A:A,ORDENES!D:D)</f>
        <v>PDSLL AKI GUARANDA</v>
      </c>
    </row>
    <row r="30" spans="1:5" x14ac:dyDescent="0.25">
      <c r="A30" t="s">
        <v>210</v>
      </c>
      <c r="B30" s="24">
        <v>46108</v>
      </c>
      <c r="C30" s="27" t="s">
        <v>171</v>
      </c>
      <c r="D30" s="19" t="str">
        <f>_xlfn.XLOOKUP(Tabla1[[#This Row],[ ID_ORDEN ]],ORDENES!A:A,ORDENES!C:C)</f>
        <v>LN</v>
      </c>
      <c r="E30" s="19" t="str">
        <f>_xlfn.XLOOKUP(Tabla1[[#This Row],[ ID_ORDEN ]],ORDENES!A:A,ORDENES!D:D)</f>
        <v>PDSLL SAN MIGUEL DE BOLIVAR</v>
      </c>
    </row>
    <row r="31" spans="1:5" x14ac:dyDescent="0.25">
      <c r="A31" t="s">
        <v>211</v>
      </c>
      <c r="B31" s="24">
        <v>46108</v>
      </c>
      <c r="C31" s="27" t="s">
        <v>216</v>
      </c>
      <c r="D31" s="19" t="str">
        <f>_xlfn.XLOOKUP(Tabla1[[#This Row],[ ID_ORDEN ]],ORDENES!A:A,ORDENES!C:C)</f>
        <v>LN</v>
      </c>
      <c r="E31" s="19" t="str">
        <f>_xlfn.XLOOKUP(Tabla1[[#This Row],[ ID_ORDEN ]],ORDENES!A:A,ORDENES!D:D)</f>
        <v>PDSLL LOJA</v>
      </c>
    </row>
    <row r="32" spans="1:5" x14ac:dyDescent="0.25">
      <c r="A32" t="s">
        <v>212</v>
      </c>
      <c r="B32" s="24">
        <v>46108</v>
      </c>
      <c r="C32" s="27" t="s">
        <v>216</v>
      </c>
      <c r="D32" s="19" t="str">
        <f>_xlfn.XLOOKUP(Tabla1[[#This Row],[ ID_ORDEN ]],ORDENES!A:A,ORDENES!C:C)</f>
        <v>LN</v>
      </c>
      <c r="E32" s="19" t="str">
        <f>_xlfn.XLOOKUP(Tabla1[[#This Row],[ ID_ORDEN ]],ORDENES!A:A,ORDENES!D:D)</f>
        <v>PDSLL VALLE LOJA</v>
      </c>
    </row>
    <row r="33" spans="1:5" x14ac:dyDescent="0.25">
      <c r="A33" t="s">
        <v>213</v>
      </c>
      <c r="B33" s="24">
        <v>46108</v>
      </c>
      <c r="C33" s="26" t="s">
        <v>173</v>
      </c>
      <c r="D33" s="19" t="str">
        <f>_xlfn.XLOOKUP(Tabla1[[#This Row],[ ID_ORDEN ]],ORDENES!A:A,ORDENES!C:C)</f>
        <v>LN</v>
      </c>
      <c r="E33" s="19" t="str">
        <f>_xlfn.XLOOKUP(Tabla1[[#This Row],[ ID_ORDEN ]],ORDENES!A:A,ORDENES!D:D)</f>
        <v>PDSLL SIGSIG CUENCA</v>
      </c>
    </row>
    <row r="34" spans="1:5" x14ac:dyDescent="0.25">
      <c r="A34" s="19" t="e">
        <f>ORDENES!#REF!</f>
        <v>#REF!</v>
      </c>
      <c r="D34" s="19" t="e">
        <f>_xlfn.XLOOKUP(Tabla1[[#This Row],[ ID_ORDEN ]],ORDENES!A:A,ORDENES!C:C)</f>
        <v>#REF!</v>
      </c>
      <c r="E34" s="19" t="e">
        <f>_xlfn.XLOOKUP(Tabla1[[#This Row],[ ID_ORDEN ]],ORDENES!A:A,ORDENES!D:D)</f>
        <v>#REF!</v>
      </c>
    </row>
    <row r="35" spans="1:5" x14ac:dyDescent="0.25">
      <c r="A35" s="19" t="e">
        <f>ORDENES!#REF!</f>
        <v>#REF!</v>
      </c>
      <c r="D35" s="19" t="e">
        <f>_xlfn.XLOOKUP(Tabla1[[#This Row],[ ID_ORDEN ]],ORDENES!A:A,ORDENES!C:C)</f>
        <v>#REF!</v>
      </c>
      <c r="E35" s="19" t="e">
        <f>_xlfn.XLOOKUP(Tabla1[[#This Row],[ ID_ORDEN ]],ORDENES!A:A,ORDENES!D:D)</f>
        <v>#REF!</v>
      </c>
    </row>
    <row r="36" spans="1:5" x14ac:dyDescent="0.25">
      <c r="A36" s="19" t="e">
        <f>ORDENES!#REF!</f>
        <v>#REF!</v>
      </c>
      <c r="D36" s="19" t="e">
        <f>_xlfn.XLOOKUP(Tabla1[[#This Row],[ ID_ORDEN ]],ORDENES!A:A,ORDENES!C:C)</f>
        <v>#REF!</v>
      </c>
      <c r="E36" s="19" t="e">
        <f>_xlfn.XLOOKUP(Tabla1[[#This Row],[ ID_ORDEN ]],ORDENES!A:A,ORDENES!D:D)</f>
        <v>#REF!</v>
      </c>
    </row>
    <row r="37" spans="1:5" x14ac:dyDescent="0.25">
      <c r="A37" s="19" t="e">
        <f>ORDENES!#REF!</f>
        <v>#REF!</v>
      </c>
      <c r="D37" s="19" t="e">
        <f>_xlfn.XLOOKUP(Tabla1[[#This Row],[ ID_ORDEN ]],ORDENES!A:A,ORDENES!C:C)</f>
        <v>#REF!</v>
      </c>
      <c r="E37" s="19" t="e">
        <f>_xlfn.XLOOKUP(Tabla1[[#This Row],[ ID_ORDEN ]],ORDENES!A:A,ORDENES!D:D)</f>
        <v>#REF!</v>
      </c>
    </row>
    <row r="38" spans="1:5" x14ac:dyDescent="0.25">
      <c r="A38" s="19" t="e">
        <f>ORDENES!#REF!</f>
        <v>#REF!</v>
      </c>
      <c r="D38" s="19" t="e">
        <f>_xlfn.XLOOKUP(Tabla1[[#This Row],[ ID_ORDEN ]],ORDENES!A:A,ORDENES!C:C)</f>
        <v>#REF!</v>
      </c>
      <c r="E38" s="19" t="e">
        <f>_xlfn.XLOOKUP(Tabla1[[#This Row],[ ID_ORDEN ]],ORDENES!A:A,ORDENES!D:D)</f>
        <v>#REF!</v>
      </c>
    </row>
    <row r="39" spans="1:5" x14ac:dyDescent="0.25">
      <c r="A39" s="19" t="e">
        <f>ORDENES!#REF!</f>
        <v>#REF!</v>
      </c>
      <c r="D39" s="19" t="e">
        <f>_xlfn.XLOOKUP(Tabla1[[#This Row],[ ID_ORDEN ]],ORDENES!A:A,ORDENES!C:C)</f>
        <v>#REF!</v>
      </c>
      <c r="E39" s="19" t="e">
        <f>_xlfn.XLOOKUP(Tabla1[[#This Row],[ ID_ORDEN ]],ORDENES!A:A,ORDENES!D:D)</f>
        <v>#REF!</v>
      </c>
    </row>
    <row r="40" spans="1:5" x14ac:dyDescent="0.25">
      <c r="A40" s="19" t="e">
        <f>ORDENES!#REF!</f>
        <v>#REF!</v>
      </c>
      <c r="D40" s="19" t="e">
        <f>_xlfn.XLOOKUP(Tabla1[[#This Row],[ ID_ORDEN ]],ORDENES!A:A,ORDENES!C:C)</f>
        <v>#REF!</v>
      </c>
      <c r="E40" s="19" t="e">
        <f>_xlfn.XLOOKUP(Tabla1[[#This Row],[ ID_ORDEN ]],ORDENES!A:A,ORDENES!D:D)</f>
        <v>#REF!</v>
      </c>
    </row>
    <row r="41" spans="1:5" x14ac:dyDescent="0.25">
      <c r="A41" s="19" t="e">
        <f>ORDENES!#REF!</f>
        <v>#REF!</v>
      </c>
    </row>
    <row r="42" spans="1:5" x14ac:dyDescent="0.25">
      <c r="A42" s="19" t="e">
        <f>ORDENES!#REF!</f>
        <v>#REF!</v>
      </c>
    </row>
    <row r="43" spans="1:5" x14ac:dyDescent="0.25">
      <c r="A43" s="19" t="e">
        <f>ORDENES!#REF!</f>
        <v>#REF!</v>
      </c>
    </row>
    <row r="44" spans="1:5" x14ac:dyDescent="0.25">
      <c r="A44" s="19" t="e">
        <f>ORDENES!#REF!</f>
        <v>#REF!</v>
      </c>
    </row>
    <row r="45" spans="1:5" x14ac:dyDescent="0.25">
      <c r="A45" s="19" t="e">
        <f>ORDENES!#REF!</f>
        <v>#REF!</v>
      </c>
    </row>
    <row r="46" spans="1:5" x14ac:dyDescent="0.25">
      <c r="A46" s="19" t="e">
        <f>ORDENES!#REF!</f>
        <v>#REF!</v>
      </c>
    </row>
    <row r="47" spans="1:5" x14ac:dyDescent="0.25">
      <c r="A47" s="19" t="e">
        <f>ORDENES!#REF!</f>
        <v>#REF!</v>
      </c>
    </row>
    <row r="48" spans="1:5" x14ac:dyDescent="0.25">
      <c r="A48" s="19" t="e">
        <f>ORDENES!#REF!</f>
        <v>#REF!</v>
      </c>
    </row>
    <row r="49" spans="1:1" x14ac:dyDescent="0.25">
      <c r="A49" s="19" t="e">
        <f>ORDENES!#REF!</f>
        <v>#REF!</v>
      </c>
    </row>
    <row r="50" spans="1:1" x14ac:dyDescent="0.25">
      <c r="A50" s="19" t="e">
        <f>ORDENES!#REF!</f>
        <v>#REF!</v>
      </c>
    </row>
    <row r="51" spans="1:1" x14ac:dyDescent="0.25">
      <c r="A51" s="19" t="e">
        <f>ORDENES!#REF!</f>
        <v>#REF!</v>
      </c>
    </row>
    <row r="52" spans="1:1" x14ac:dyDescent="0.25">
      <c r="A52" s="19" t="e">
        <f>ORDENES!#REF!</f>
        <v>#REF!</v>
      </c>
    </row>
    <row r="53" spans="1:1" x14ac:dyDescent="0.25">
      <c r="A53" s="19" t="e">
        <f>ORDENES!#REF!</f>
        <v>#REF!</v>
      </c>
    </row>
    <row r="54" spans="1:1" x14ac:dyDescent="0.25">
      <c r="A54" s="19" t="e">
        <f>ORDENES!#REF!</f>
        <v>#REF!</v>
      </c>
    </row>
    <row r="55" spans="1:1" x14ac:dyDescent="0.25">
      <c r="A55" s="19" t="e">
        <f>ORDENES!#REF!</f>
        <v>#REF!</v>
      </c>
    </row>
    <row r="56" spans="1:1" x14ac:dyDescent="0.25">
      <c r="A56" s="19" t="e">
        <f>ORDENES!#REF!</f>
        <v>#REF!</v>
      </c>
    </row>
    <row r="57" spans="1:1" x14ac:dyDescent="0.25">
      <c r="A57" s="19" t="e">
        <f>ORDENES!#REF!</f>
        <v>#REF!</v>
      </c>
    </row>
    <row r="58" spans="1:1" x14ac:dyDescent="0.25">
      <c r="A58" s="19" t="e">
        <f>ORDENES!#REF!</f>
        <v>#REF!</v>
      </c>
    </row>
    <row r="59" spans="1:1" x14ac:dyDescent="0.25">
      <c r="A59" s="19" t="e">
        <f>ORDENES!#REF!</f>
        <v>#REF!</v>
      </c>
    </row>
    <row r="60" spans="1:1" x14ac:dyDescent="0.25">
      <c r="A60" s="19" t="e">
        <f>ORDENES!#REF!</f>
        <v>#REF!</v>
      </c>
    </row>
    <row r="61" spans="1:1" x14ac:dyDescent="0.25">
      <c r="A61" s="19" t="e">
        <f>ORDENES!#REF!</f>
        <v>#REF!</v>
      </c>
    </row>
    <row r="62" spans="1:1" x14ac:dyDescent="0.25">
      <c r="A62" s="19" t="e">
        <f>ORDENES!#REF!</f>
        <v>#REF!</v>
      </c>
    </row>
    <row r="63" spans="1:1" x14ac:dyDescent="0.25">
      <c r="A63" s="19" t="e">
        <f>ORDENES!#REF!</f>
        <v>#REF!</v>
      </c>
    </row>
    <row r="64" spans="1:1" x14ac:dyDescent="0.25">
      <c r="A64" s="19" t="e">
        <f>ORDENES!#REF!</f>
        <v>#REF!</v>
      </c>
    </row>
    <row r="65" spans="1:1" x14ac:dyDescent="0.25">
      <c r="A65" s="19" t="e">
        <f>ORDENES!#REF!</f>
        <v>#REF!</v>
      </c>
    </row>
    <row r="66" spans="1:1" x14ac:dyDescent="0.25">
      <c r="A66" s="19" t="e">
        <f>ORDENES!#REF!</f>
        <v>#REF!</v>
      </c>
    </row>
    <row r="67" spans="1:1" x14ac:dyDescent="0.25">
      <c r="A67" s="19" t="e">
        <f>ORDENES!#REF!</f>
        <v>#REF!</v>
      </c>
    </row>
    <row r="68" spans="1:1" x14ac:dyDescent="0.25">
      <c r="A68" s="19" t="e">
        <f>ORDENES!#REF!</f>
        <v>#REF!</v>
      </c>
    </row>
    <row r="69" spans="1:1" x14ac:dyDescent="0.25">
      <c r="A69" s="19" t="e">
        <f>ORDENES!#REF!</f>
        <v>#REF!</v>
      </c>
    </row>
    <row r="70" spans="1:1" x14ac:dyDescent="0.25">
      <c r="A70" s="19" t="e">
        <f>ORDENES!#REF!</f>
        <v>#REF!</v>
      </c>
    </row>
    <row r="71" spans="1:1" x14ac:dyDescent="0.25">
      <c r="A71" s="19" t="e">
        <f>ORDENES!#REF!</f>
        <v>#REF!</v>
      </c>
    </row>
    <row r="72" spans="1:1" x14ac:dyDescent="0.25">
      <c r="A72" s="19" t="e">
        <f>ORDENES!#REF!</f>
        <v>#REF!</v>
      </c>
    </row>
    <row r="73" spans="1:1" x14ac:dyDescent="0.25">
      <c r="A73" s="19" t="e">
        <f>ORDENES!#REF!</f>
        <v>#REF!</v>
      </c>
    </row>
    <row r="74" spans="1:1" x14ac:dyDescent="0.25">
      <c r="A74" s="19" t="e">
        <f>ORDENES!#REF!</f>
        <v>#REF!</v>
      </c>
    </row>
    <row r="75" spans="1:1" x14ac:dyDescent="0.25">
      <c r="A75" s="19" t="e">
        <f>ORDENES!#REF!</f>
        <v>#REF!</v>
      </c>
    </row>
    <row r="76" spans="1:1" x14ac:dyDescent="0.25">
      <c r="A76" s="19" t="e">
        <f>ORDENES!#REF!</f>
        <v>#REF!</v>
      </c>
    </row>
    <row r="77" spans="1:1" x14ac:dyDescent="0.25">
      <c r="A77" s="19" t="e">
        <f>ORDENES!#REF!</f>
        <v>#REF!</v>
      </c>
    </row>
    <row r="78" spans="1:1" x14ac:dyDescent="0.25">
      <c r="A78" s="19" t="e">
        <f>ORDENES!#REF!</f>
        <v>#REF!</v>
      </c>
    </row>
    <row r="79" spans="1:1" x14ac:dyDescent="0.25">
      <c r="A79" s="19" t="e">
        <f>ORDENES!#REF!</f>
        <v>#REF!</v>
      </c>
    </row>
    <row r="80" spans="1:1" x14ac:dyDescent="0.25">
      <c r="A80" s="19" t="e">
        <f>ORDENES!#REF!</f>
        <v>#REF!</v>
      </c>
    </row>
    <row r="81" spans="1:2" x14ac:dyDescent="0.25">
      <c r="A81" s="19" t="e">
        <f>ORDENES!#REF!</f>
        <v>#REF!</v>
      </c>
    </row>
    <row r="85" spans="1:2" x14ac:dyDescent="0.25">
      <c r="B85" s="15"/>
    </row>
    <row r="86" spans="1:2" x14ac:dyDescent="0.25">
      <c r="B86" s="15"/>
    </row>
    <row r="87" spans="1:2" x14ac:dyDescent="0.25">
      <c r="B87" s="15"/>
    </row>
    <row r="88" spans="1:2" x14ac:dyDescent="0.25">
      <c r="B88" s="15"/>
    </row>
    <row r="89" spans="1:2" x14ac:dyDescent="0.25">
      <c r="B89" s="15"/>
    </row>
    <row r="90" spans="1:2" x14ac:dyDescent="0.25">
      <c r="B90" s="15"/>
    </row>
    <row r="91" spans="1:2" x14ac:dyDescent="0.25">
      <c r="B91" s="15"/>
    </row>
    <row r="92" spans="1:2" x14ac:dyDescent="0.25">
      <c r="B92" s="15"/>
    </row>
    <row r="93" spans="1:2" x14ac:dyDescent="0.25">
      <c r="B93" s="15"/>
    </row>
    <row r="94" spans="1:2" x14ac:dyDescent="0.25">
      <c r="B94" s="15"/>
    </row>
    <row r="95" spans="1:2" x14ac:dyDescent="0.25">
      <c r="B95" s="15"/>
    </row>
    <row r="96" spans="1:2" x14ac:dyDescent="0.25">
      <c r="B96" s="15"/>
    </row>
    <row r="97" spans="2:2" x14ac:dyDescent="0.25">
      <c r="B97" s="15"/>
    </row>
    <row r="98" spans="2:2" x14ac:dyDescent="0.25">
      <c r="B98" s="15"/>
    </row>
    <row r="99" spans="2:2" x14ac:dyDescent="0.25">
      <c r="B99" s="15"/>
    </row>
    <row r="100" spans="2:2" x14ac:dyDescent="0.25">
      <c r="B100" s="15"/>
    </row>
    <row r="101" spans="2:2" x14ac:dyDescent="0.25">
      <c r="B101" s="15"/>
    </row>
    <row r="102" spans="2:2" x14ac:dyDescent="0.25">
      <c r="B102" s="15"/>
    </row>
    <row r="103" spans="2:2" x14ac:dyDescent="0.25">
      <c r="B103" s="15"/>
    </row>
    <row r="104" spans="2:2" x14ac:dyDescent="0.25">
      <c r="B104" s="15"/>
    </row>
    <row r="105" spans="2:2" x14ac:dyDescent="0.25">
      <c r="B105" s="15"/>
    </row>
    <row r="106" spans="2:2" x14ac:dyDescent="0.25">
      <c r="B106" s="15"/>
    </row>
    <row r="107" spans="2:2" x14ac:dyDescent="0.25">
      <c r="B107" s="15"/>
    </row>
    <row r="108" spans="2:2" x14ac:dyDescent="0.25">
      <c r="B108" s="15"/>
    </row>
    <row r="109" spans="2:2" x14ac:dyDescent="0.25">
      <c r="B109" s="15"/>
    </row>
    <row r="110" spans="2:2" x14ac:dyDescent="0.25">
      <c r="B110" s="15"/>
    </row>
    <row r="111" spans="2:2" x14ac:dyDescent="0.25">
      <c r="B111" s="15"/>
    </row>
    <row r="112" spans="2:2" x14ac:dyDescent="0.25">
      <c r="B112" s="15"/>
    </row>
    <row r="113" spans="2:2" x14ac:dyDescent="0.25">
      <c r="B113" s="15"/>
    </row>
    <row r="114" spans="2:2" x14ac:dyDescent="0.25">
      <c r="B114" s="15"/>
    </row>
    <row r="115" spans="2:2" x14ac:dyDescent="0.25">
      <c r="B115" s="15"/>
    </row>
    <row r="116" spans="2:2" x14ac:dyDescent="0.25">
      <c r="B116" s="15"/>
    </row>
    <row r="117" spans="2:2" x14ac:dyDescent="0.25">
      <c r="B117" s="15"/>
    </row>
    <row r="118" spans="2:2" x14ac:dyDescent="0.25">
      <c r="B118" s="15"/>
    </row>
    <row r="119" spans="2:2" x14ac:dyDescent="0.25">
      <c r="B119" s="15"/>
    </row>
    <row r="120" spans="2:2" x14ac:dyDescent="0.25">
      <c r="B120" s="15"/>
    </row>
    <row r="121" spans="2:2" x14ac:dyDescent="0.25">
      <c r="B121" s="15"/>
    </row>
    <row r="122" spans="2:2" x14ac:dyDescent="0.25">
      <c r="B122" s="15"/>
    </row>
    <row r="123" spans="2:2" x14ac:dyDescent="0.25">
      <c r="B123" s="15"/>
    </row>
    <row r="124" spans="2:2" x14ac:dyDescent="0.25">
      <c r="B124" s="15"/>
    </row>
    <row r="125" spans="2:2" x14ac:dyDescent="0.25">
      <c r="B125" s="15"/>
    </row>
    <row r="126" spans="2:2" x14ac:dyDescent="0.25">
      <c r="B126" s="15"/>
    </row>
    <row r="127" spans="2:2" x14ac:dyDescent="0.25">
      <c r="B127" s="15"/>
    </row>
    <row r="128" spans="2:2" x14ac:dyDescent="0.25">
      <c r="B128" s="15"/>
    </row>
    <row r="129" spans="2:2" x14ac:dyDescent="0.25">
      <c r="B129" s="15"/>
    </row>
    <row r="130" spans="2:2" x14ac:dyDescent="0.25">
      <c r="B130" s="15"/>
    </row>
    <row r="131" spans="2:2" x14ac:dyDescent="0.25">
      <c r="B131" s="15"/>
    </row>
    <row r="132" spans="2:2" x14ac:dyDescent="0.25">
      <c r="B132" s="15"/>
    </row>
    <row r="133" spans="2:2" x14ac:dyDescent="0.25">
      <c r="B133" s="15"/>
    </row>
    <row r="134" spans="2:2" x14ac:dyDescent="0.25">
      <c r="B134" s="15"/>
    </row>
    <row r="135" spans="2:2" x14ac:dyDescent="0.25">
      <c r="B135" s="15"/>
    </row>
    <row r="136" spans="2:2" x14ac:dyDescent="0.25">
      <c r="B136" s="15"/>
    </row>
    <row r="137" spans="2:2" x14ac:dyDescent="0.25">
      <c r="B137" s="15"/>
    </row>
    <row r="138" spans="2:2" x14ac:dyDescent="0.25">
      <c r="B138" s="15"/>
    </row>
    <row r="139" spans="2:2" x14ac:dyDescent="0.25">
      <c r="B139" s="15"/>
    </row>
    <row r="140" spans="2:2" x14ac:dyDescent="0.25">
      <c r="B140" s="15"/>
    </row>
    <row r="141" spans="2:2" x14ac:dyDescent="0.25">
      <c r="B141" s="15"/>
    </row>
    <row r="142" spans="2:2" x14ac:dyDescent="0.25">
      <c r="B142" s="15"/>
    </row>
    <row r="143" spans="2:2" x14ac:dyDescent="0.25">
      <c r="B143" s="15"/>
    </row>
    <row r="144" spans="2:2" x14ac:dyDescent="0.25">
      <c r="B144" s="15"/>
    </row>
    <row r="145" spans="2:2" x14ac:dyDescent="0.25">
      <c r="B145" s="15"/>
    </row>
    <row r="146" spans="2:2" x14ac:dyDescent="0.25">
      <c r="B146" s="15"/>
    </row>
    <row r="147" spans="2:2" x14ac:dyDescent="0.25">
      <c r="B147" s="15"/>
    </row>
    <row r="148" spans="2:2" x14ac:dyDescent="0.25">
      <c r="B148" s="15"/>
    </row>
    <row r="149" spans="2:2" x14ac:dyDescent="0.25">
      <c r="B149" s="15"/>
    </row>
    <row r="150" spans="2:2" x14ac:dyDescent="0.25">
      <c r="B150" s="15"/>
    </row>
    <row r="151" spans="2:2" x14ac:dyDescent="0.25">
      <c r="B151" s="15"/>
    </row>
    <row r="152" spans="2:2" x14ac:dyDescent="0.25">
      <c r="B152" s="15"/>
    </row>
    <row r="153" spans="2:2" x14ac:dyDescent="0.25">
      <c r="B153" s="15"/>
    </row>
    <row r="154" spans="2:2" x14ac:dyDescent="0.25">
      <c r="B154" s="15"/>
    </row>
    <row r="155" spans="2:2" x14ac:dyDescent="0.25">
      <c r="B155" s="15"/>
    </row>
    <row r="156" spans="2:2" x14ac:dyDescent="0.25">
      <c r="B156" s="15"/>
    </row>
    <row r="157" spans="2:2" x14ac:dyDescent="0.25">
      <c r="B157" s="15"/>
    </row>
    <row r="158" spans="2:2" x14ac:dyDescent="0.25">
      <c r="B158" s="15"/>
    </row>
    <row r="159" spans="2:2" x14ac:dyDescent="0.25">
      <c r="B159" s="15"/>
    </row>
    <row r="160" spans="2:2" x14ac:dyDescent="0.25">
      <c r="B160" s="15"/>
    </row>
    <row r="161" spans="2:5" x14ac:dyDescent="0.25">
      <c r="B161" s="15"/>
    </row>
    <row r="162" spans="2:5" x14ac:dyDescent="0.25">
      <c r="B162" s="15"/>
    </row>
    <row r="163" spans="2:5" x14ac:dyDescent="0.25">
      <c r="B163" s="15"/>
    </row>
    <row r="164" spans="2:5" x14ac:dyDescent="0.25">
      <c r="B164" s="15"/>
    </row>
    <row r="165" spans="2:5" x14ac:dyDescent="0.25">
      <c r="B165" s="15"/>
    </row>
    <row r="166" spans="2:5" x14ac:dyDescent="0.25">
      <c r="B166" s="15"/>
    </row>
    <row r="167" spans="2:5" x14ac:dyDescent="0.25">
      <c r="B167" s="15"/>
    </row>
    <row r="168" spans="2:5" x14ac:dyDescent="0.25">
      <c r="D168" s="19" cm="1">
        <f t="array" ref="D168">_xlfn.XLOOKUP(A168,ORDENES!A162:A250,ORDENES!C162:C250,ORDENES!A162:A250)</f>
        <v>0</v>
      </c>
      <c r="E168" s="19" cm="1">
        <f t="array" ref="E168">_xlfn.XLOOKUP(A168,ORDENES!A162:A250,ORDENES!D162:D250,ORDENES!A162:A250)</f>
        <v>0</v>
      </c>
    </row>
    <row r="169" spans="2:5" x14ac:dyDescent="0.25">
      <c r="D169" s="19" cm="1">
        <f t="array" ref="D169">_xlfn.XLOOKUP(A169,ORDENES!A163:A251,ORDENES!C163:C251,ORDENES!A163:A251)</f>
        <v>0</v>
      </c>
      <c r="E169" s="19" cm="1">
        <f t="array" ref="E169">_xlfn.XLOOKUP(A169,ORDENES!A163:A251,ORDENES!D163:D251,ORDENES!A163:A251)</f>
        <v>0</v>
      </c>
    </row>
  </sheetData>
  <phoneticPr fontId="6"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C01E-E060-4D22-BD2F-D6D1577C8D05}">
  <dimension ref="A2:L14"/>
  <sheetViews>
    <sheetView workbookViewId="0">
      <selection activeCell="K4" sqref="K4:K14"/>
    </sheetView>
  </sheetViews>
  <sheetFormatPr baseColWidth="10" defaultColWidth="11.42578125" defaultRowHeight="15" x14ac:dyDescent="0.25"/>
  <cols>
    <col min="12" max="12" width="20.7109375" bestFit="1" customWidth="1"/>
  </cols>
  <sheetData>
    <row r="2" spans="1:12" x14ac:dyDescent="0.25">
      <c r="A2" s="2"/>
      <c r="B2" s="2"/>
      <c r="C2" s="3"/>
      <c r="D2" s="3"/>
      <c r="E2" s="128"/>
      <c r="F2" s="128"/>
      <c r="G2" s="3"/>
      <c r="H2" s="3"/>
      <c r="I2" s="3"/>
      <c r="J2" s="3"/>
      <c r="K2" s="3"/>
      <c r="L2" s="3"/>
    </row>
    <row r="3" spans="1:12" ht="23.25" x14ac:dyDescent="0.25">
      <c r="A3" s="4" t="s">
        <v>113</v>
      </c>
      <c r="B3" s="4" t="s">
        <v>114</v>
      </c>
      <c r="C3" s="4" t="s">
        <v>115</v>
      </c>
      <c r="D3" s="5" t="s">
        <v>116</v>
      </c>
      <c r="E3" s="5" t="s">
        <v>117</v>
      </c>
      <c r="F3" s="5" t="s">
        <v>118</v>
      </c>
      <c r="G3" s="5" t="s">
        <v>119</v>
      </c>
      <c r="H3" s="6" t="s">
        <v>120</v>
      </c>
      <c r="I3" s="6" t="s">
        <v>121</v>
      </c>
      <c r="J3" s="6" t="s">
        <v>122</v>
      </c>
      <c r="K3" s="6" t="s">
        <v>123</v>
      </c>
      <c r="L3" s="7" t="s">
        <v>124</v>
      </c>
    </row>
    <row r="4" spans="1:12" x14ac:dyDescent="0.25">
      <c r="A4" s="4">
        <v>2025</v>
      </c>
      <c r="B4" s="4" t="s">
        <v>125</v>
      </c>
      <c r="C4" s="4" t="s">
        <v>126</v>
      </c>
      <c r="D4" s="8" t="s">
        <v>127</v>
      </c>
      <c r="E4" s="9">
        <v>1</v>
      </c>
      <c r="F4" s="10">
        <v>0.33333333333333331</v>
      </c>
      <c r="G4" s="10">
        <v>0.35416666666666669</v>
      </c>
      <c r="H4" s="10">
        <v>4.1666666666666664E-2</v>
      </c>
      <c r="I4" s="10">
        <v>0.8125</v>
      </c>
      <c r="J4" s="11">
        <v>0.41666666666666669</v>
      </c>
      <c r="K4" s="11">
        <v>8.3333333333333329E-2</v>
      </c>
      <c r="L4" s="12" t="s">
        <v>128</v>
      </c>
    </row>
    <row r="5" spans="1:12" x14ac:dyDescent="0.25">
      <c r="A5" s="4">
        <v>2025</v>
      </c>
      <c r="B5" s="4" t="s">
        <v>125</v>
      </c>
      <c r="C5" s="4" t="s">
        <v>126</v>
      </c>
      <c r="D5" s="8" t="s">
        <v>129</v>
      </c>
      <c r="E5" s="9">
        <v>2</v>
      </c>
      <c r="F5" s="10">
        <v>0.33333333333333331</v>
      </c>
      <c r="G5" s="10">
        <v>0.33333333333333331</v>
      </c>
      <c r="H5" s="10">
        <v>4.1666666666666664E-2</v>
      </c>
      <c r="I5" s="10">
        <v>0.8125</v>
      </c>
      <c r="J5" s="11">
        <v>0.4375</v>
      </c>
      <c r="K5" s="11">
        <v>0.10416666666666667</v>
      </c>
      <c r="L5" s="12" t="s">
        <v>130</v>
      </c>
    </row>
    <row r="6" spans="1:12" x14ac:dyDescent="0.25">
      <c r="A6" s="4">
        <v>2025</v>
      </c>
      <c r="B6" s="4" t="s">
        <v>125</v>
      </c>
      <c r="C6" s="4" t="s">
        <v>126</v>
      </c>
      <c r="D6" s="8" t="s">
        <v>131</v>
      </c>
      <c r="E6" s="9">
        <v>3</v>
      </c>
      <c r="F6" s="10">
        <v>0.33333333333333331</v>
      </c>
      <c r="G6" s="10">
        <v>0.33333333333333331</v>
      </c>
      <c r="H6" s="10">
        <v>4.1666666666666664E-2</v>
      </c>
      <c r="I6" s="10">
        <v>0.8125</v>
      </c>
      <c r="J6" s="11">
        <v>0.4375</v>
      </c>
      <c r="K6" s="11">
        <v>0.10416666666666667</v>
      </c>
      <c r="L6" s="12" t="s">
        <v>130</v>
      </c>
    </row>
    <row r="7" spans="1:12" x14ac:dyDescent="0.25">
      <c r="A7" s="4">
        <v>2025</v>
      </c>
      <c r="B7" s="4" t="s">
        <v>125</v>
      </c>
      <c r="C7" s="4" t="s">
        <v>126</v>
      </c>
      <c r="D7" s="8" t="s">
        <v>132</v>
      </c>
      <c r="E7" s="9">
        <v>4</v>
      </c>
      <c r="F7" s="10">
        <v>0.33333333333333331</v>
      </c>
      <c r="G7" s="10">
        <v>0.33333333333333331</v>
      </c>
      <c r="H7" s="10">
        <v>4.1666666666666664E-2</v>
      </c>
      <c r="I7" s="10">
        <v>0.77083333333333337</v>
      </c>
      <c r="J7" s="11">
        <v>0.39583333333333331</v>
      </c>
      <c r="K7" s="11">
        <v>6.25E-2</v>
      </c>
      <c r="L7" s="12" t="s">
        <v>130</v>
      </c>
    </row>
    <row r="8" spans="1:12" x14ac:dyDescent="0.25">
      <c r="A8" s="4">
        <v>2025</v>
      </c>
      <c r="B8" s="4" t="s">
        <v>125</v>
      </c>
      <c r="C8" s="4" t="s">
        <v>126</v>
      </c>
      <c r="D8" s="8" t="s">
        <v>133</v>
      </c>
      <c r="E8" s="9">
        <v>5</v>
      </c>
      <c r="F8" s="10">
        <v>0</v>
      </c>
      <c r="G8" s="10">
        <v>0</v>
      </c>
      <c r="H8" s="10">
        <v>0</v>
      </c>
      <c r="I8" s="10">
        <v>0</v>
      </c>
      <c r="J8" s="11">
        <v>0</v>
      </c>
      <c r="K8" s="11">
        <v>0</v>
      </c>
      <c r="L8" s="12" t="s">
        <v>130</v>
      </c>
    </row>
    <row r="9" spans="1:12" x14ac:dyDescent="0.25">
      <c r="A9" s="4">
        <v>2025</v>
      </c>
      <c r="B9" s="4" t="s">
        <v>125</v>
      </c>
      <c r="C9" s="4" t="s">
        <v>126</v>
      </c>
      <c r="D9" s="8" t="s">
        <v>134</v>
      </c>
      <c r="E9" s="9">
        <v>6</v>
      </c>
      <c r="F9" s="10">
        <v>0</v>
      </c>
      <c r="G9" s="10">
        <v>0</v>
      </c>
      <c r="H9" s="10">
        <v>0</v>
      </c>
      <c r="I9" s="10">
        <v>0</v>
      </c>
      <c r="J9" s="11">
        <v>0</v>
      </c>
      <c r="K9" s="11">
        <v>0</v>
      </c>
      <c r="L9" s="12" t="s">
        <v>130</v>
      </c>
    </row>
    <row r="10" spans="1:12" x14ac:dyDescent="0.25">
      <c r="A10" s="4">
        <v>2025</v>
      </c>
      <c r="B10" s="4" t="s">
        <v>125</v>
      </c>
      <c r="C10" s="4" t="s">
        <v>126</v>
      </c>
      <c r="D10" s="8" t="s">
        <v>135</v>
      </c>
      <c r="E10" s="9">
        <v>7</v>
      </c>
      <c r="F10" s="10">
        <v>0.33333333333333331</v>
      </c>
      <c r="G10" s="10">
        <v>0.33333333333333331</v>
      </c>
      <c r="H10" s="10">
        <v>4.1666666666666664E-2</v>
      </c>
      <c r="I10" s="10">
        <v>0.6875</v>
      </c>
      <c r="J10" s="11">
        <v>0.3125</v>
      </c>
      <c r="K10" s="13" t="s">
        <v>136</v>
      </c>
      <c r="L10" s="12" t="s">
        <v>130</v>
      </c>
    </row>
    <row r="11" spans="1:12" x14ac:dyDescent="0.25">
      <c r="A11" s="4">
        <v>2025</v>
      </c>
      <c r="B11" s="4" t="s">
        <v>125</v>
      </c>
      <c r="C11" s="4" t="s">
        <v>126</v>
      </c>
      <c r="D11" s="8" t="s">
        <v>127</v>
      </c>
      <c r="E11" s="9">
        <v>8</v>
      </c>
      <c r="F11" s="10">
        <v>0.33333333333333331</v>
      </c>
      <c r="G11" s="10">
        <v>0.33333333333333331</v>
      </c>
      <c r="H11" s="10">
        <v>4.1666666666666664E-2</v>
      </c>
      <c r="I11" s="10">
        <v>0.6875</v>
      </c>
      <c r="J11" s="11">
        <v>0.3125</v>
      </c>
      <c r="K11" s="13" t="s">
        <v>136</v>
      </c>
      <c r="L11" s="12" t="s">
        <v>130</v>
      </c>
    </row>
    <row r="12" spans="1:12" x14ac:dyDescent="0.25">
      <c r="A12" s="4">
        <v>2025</v>
      </c>
      <c r="B12" s="4" t="s">
        <v>125</v>
      </c>
      <c r="C12" s="4" t="s">
        <v>126</v>
      </c>
      <c r="D12" s="8" t="s">
        <v>129</v>
      </c>
      <c r="E12" s="9">
        <v>9</v>
      </c>
      <c r="F12" s="10">
        <v>0.33333333333333331</v>
      </c>
      <c r="G12" s="10">
        <v>0.33333333333333331</v>
      </c>
      <c r="H12" s="10">
        <v>4.1666666666666664E-2</v>
      </c>
      <c r="I12" s="10">
        <v>0.625</v>
      </c>
      <c r="J12" s="11">
        <v>0.25</v>
      </c>
      <c r="K12" s="13" t="s">
        <v>137</v>
      </c>
      <c r="L12" s="12" t="s">
        <v>130</v>
      </c>
    </row>
    <row r="13" spans="1:12" x14ac:dyDescent="0.25">
      <c r="A13" s="4">
        <v>2025</v>
      </c>
      <c r="B13" s="4" t="s">
        <v>125</v>
      </c>
      <c r="C13" s="4" t="s">
        <v>126</v>
      </c>
      <c r="D13" s="8" t="s">
        <v>131</v>
      </c>
      <c r="E13" s="9">
        <v>10</v>
      </c>
      <c r="F13" s="10">
        <v>0.33333333333333331</v>
      </c>
      <c r="G13" s="10">
        <v>0.33333333333333331</v>
      </c>
      <c r="H13" s="10">
        <v>4.1666666666666664E-2</v>
      </c>
      <c r="I13" s="10">
        <v>0.625</v>
      </c>
      <c r="J13" s="11">
        <v>0.25</v>
      </c>
      <c r="K13" s="13" t="s">
        <v>137</v>
      </c>
      <c r="L13" s="12" t="s">
        <v>130</v>
      </c>
    </row>
    <row r="14" spans="1:12" x14ac:dyDescent="0.25">
      <c r="A14" s="4">
        <v>2025</v>
      </c>
      <c r="B14" s="4" t="s">
        <v>125</v>
      </c>
      <c r="C14" s="4" t="s">
        <v>126</v>
      </c>
      <c r="D14" s="8" t="s">
        <v>132</v>
      </c>
      <c r="E14" s="9">
        <v>11</v>
      </c>
      <c r="F14" s="10">
        <v>0.33333333333333331</v>
      </c>
      <c r="G14" s="10">
        <v>0.33333333333333331</v>
      </c>
      <c r="H14" s="10">
        <v>4.1666666666666664E-2</v>
      </c>
      <c r="I14" s="10">
        <v>0.58333333333333337</v>
      </c>
      <c r="J14" s="11">
        <v>0.20833333333333334</v>
      </c>
      <c r="K14" s="13" t="s">
        <v>138</v>
      </c>
      <c r="L14" s="12" t="s">
        <v>130</v>
      </c>
    </row>
  </sheetData>
  <mergeCells count="1">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4658-FCA5-41C0-98AA-5279169D9D0D}">
  <dimension ref="A1:F37"/>
  <sheetViews>
    <sheetView topLeftCell="A16" workbookViewId="0">
      <selection activeCell="F5" sqref="F5"/>
    </sheetView>
  </sheetViews>
  <sheetFormatPr baseColWidth="10" defaultColWidth="11.42578125" defaultRowHeight="15" x14ac:dyDescent="0.25"/>
  <cols>
    <col min="1" max="1" width="12.7109375" bestFit="1" customWidth="1"/>
    <col min="2" max="2" width="8.7109375" bestFit="1" customWidth="1"/>
    <col min="3" max="3" width="22.7109375" bestFit="1" customWidth="1"/>
    <col min="4" max="4" width="17" bestFit="1" customWidth="1"/>
    <col min="5" max="5" width="19" bestFit="1" customWidth="1"/>
    <col min="6" max="6" width="12.5703125" bestFit="1" customWidth="1"/>
  </cols>
  <sheetData>
    <row r="1" spans="1:6" x14ac:dyDescent="0.25">
      <c r="A1" s="21" t="s">
        <v>62</v>
      </c>
      <c r="B1" s="21" t="s">
        <v>139</v>
      </c>
      <c r="C1" s="21" t="s">
        <v>140</v>
      </c>
      <c r="D1" s="21" t="s">
        <v>141</v>
      </c>
      <c r="E1" s="21" t="s">
        <v>142</v>
      </c>
      <c r="F1" s="22" t="s">
        <v>143</v>
      </c>
    </row>
    <row r="2" spans="1:6" x14ac:dyDescent="0.25">
      <c r="A2" t="e" cm="1" vm="1">
        <f t="array" aca="1" ref="A2" ca="1">_xlfn._xlws.FILTER(ORDENES!A2:E990,ISNUMBER(MATCH(ORDENES!E2:E990,{"V.TECNICA";"PROYECTO";"IMPLEMENTACION"},0)))</f>
        <v>#VALUE!</v>
      </c>
      <c r="E2" t="s">
        <v>144</v>
      </c>
      <c r="F2" s="15">
        <v>46101</v>
      </c>
    </row>
    <row r="3" spans="1:6" x14ac:dyDescent="0.25">
      <c r="E3" t="s">
        <v>145</v>
      </c>
      <c r="F3" s="15">
        <v>46102</v>
      </c>
    </row>
    <row r="4" spans="1:6" x14ac:dyDescent="0.25">
      <c r="E4" t="s">
        <v>146</v>
      </c>
      <c r="F4" s="15">
        <v>46103</v>
      </c>
    </row>
    <row r="5" spans="1:6" x14ac:dyDescent="0.25">
      <c r="E5" t="s">
        <v>147</v>
      </c>
      <c r="F5" s="15">
        <v>46104</v>
      </c>
    </row>
    <row r="6" spans="1:6" x14ac:dyDescent="0.25">
      <c r="E6" t="s">
        <v>145</v>
      </c>
    </row>
    <row r="7" spans="1:6" x14ac:dyDescent="0.25">
      <c r="E7" t="s">
        <v>145</v>
      </c>
    </row>
    <row r="8" spans="1:6" x14ac:dyDescent="0.25">
      <c r="E8" t="s">
        <v>145</v>
      </c>
    </row>
    <row r="9" spans="1:6" x14ac:dyDescent="0.25">
      <c r="E9" t="s">
        <v>145</v>
      </c>
    </row>
    <row r="10" spans="1:6" x14ac:dyDescent="0.25">
      <c r="E10" t="s">
        <v>145</v>
      </c>
    </row>
    <row r="11" spans="1:6" x14ac:dyDescent="0.25">
      <c r="E11" t="s">
        <v>145</v>
      </c>
    </row>
    <row r="12" spans="1:6" x14ac:dyDescent="0.25">
      <c r="E12" t="s">
        <v>145</v>
      </c>
    </row>
    <row r="13" spans="1:6" x14ac:dyDescent="0.25">
      <c r="E13" t="s">
        <v>145</v>
      </c>
    </row>
    <row r="14" spans="1:6" x14ac:dyDescent="0.25">
      <c r="E14" t="s">
        <v>145</v>
      </c>
    </row>
    <row r="15" spans="1:6" x14ac:dyDescent="0.25">
      <c r="E15" t="s">
        <v>145</v>
      </c>
    </row>
    <row r="16" spans="1:6" x14ac:dyDescent="0.25">
      <c r="E16" t="s">
        <v>145</v>
      </c>
    </row>
    <row r="17" spans="5:5" x14ac:dyDescent="0.25">
      <c r="E17" t="s">
        <v>145</v>
      </c>
    </row>
    <row r="18" spans="5:5" x14ac:dyDescent="0.25">
      <c r="E18" t="s">
        <v>145</v>
      </c>
    </row>
    <row r="19" spans="5:5" x14ac:dyDescent="0.25">
      <c r="E19" t="s">
        <v>145</v>
      </c>
    </row>
    <row r="20" spans="5:5" x14ac:dyDescent="0.25">
      <c r="E20" t="s">
        <v>145</v>
      </c>
    </row>
    <row r="21" spans="5:5" x14ac:dyDescent="0.25">
      <c r="E21" t="s">
        <v>145</v>
      </c>
    </row>
    <row r="22" spans="5:5" x14ac:dyDescent="0.25">
      <c r="E22" t="s">
        <v>145</v>
      </c>
    </row>
    <row r="23" spans="5:5" x14ac:dyDescent="0.25">
      <c r="E23" t="s">
        <v>145</v>
      </c>
    </row>
    <row r="24" spans="5:5" x14ac:dyDescent="0.25">
      <c r="E24" t="s">
        <v>145</v>
      </c>
    </row>
    <row r="25" spans="5:5" x14ac:dyDescent="0.25">
      <c r="E25" t="s">
        <v>145</v>
      </c>
    </row>
    <row r="26" spans="5:5" x14ac:dyDescent="0.25">
      <c r="E26" t="s">
        <v>145</v>
      </c>
    </row>
    <row r="27" spans="5:5" x14ac:dyDescent="0.25">
      <c r="E27" t="s">
        <v>145</v>
      </c>
    </row>
    <row r="28" spans="5:5" x14ac:dyDescent="0.25">
      <c r="E28" t="s">
        <v>145</v>
      </c>
    </row>
    <row r="29" spans="5:5" x14ac:dyDescent="0.25">
      <c r="E29" t="s">
        <v>145</v>
      </c>
    </row>
    <row r="30" spans="5:5" x14ac:dyDescent="0.25">
      <c r="E30" t="s">
        <v>145</v>
      </c>
    </row>
    <row r="31" spans="5:5" x14ac:dyDescent="0.25">
      <c r="E31" t="s">
        <v>145</v>
      </c>
    </row>
    <row r="32" spans="5:5" x14ac:dyDescent="0.25">
      <c r="E32" t="s">
        <v>145</v>
      </c>
    </row>
    <row r="33" spans="5:5" x14ac:dyDescent="0.25">
      <c r="E33" t="s">
        <v>145</v>
      </c>
    </row>
    <row r="34" spans="5:5" x14ac:dyDescent="0.25">
      <c r="E34" t="s">
        <v>145</v>
      </c>
    </row>
    <row r="35" spans="5:5" x14ac:dyDescent="0.25">
      <c r="E35" t="s">
        <v>145</v>
      </c>
    </row>
    <row r="36" spans="5:5" x14ac:dyDescent="0.25">
      <c r="E36" t="s">
        <v>145</v>
      </c>
    </row>
    <row r="37" spans="5:5" x14ac:dyDescent="0.25">
      <c r="E37" t="s">
        <v>145</v>
      </c>
    </row>
  </sheetData>
  <dataValidations count="1">
    <dataValidation type="list" allowBlank="1" showInputMessage="1" showErrorMessage="1" sqref="E2:E37" xr:uid="{A56EAA22-3CD7-494F-B91C-77B641F37191}">
      <formula1>"NO INICIADA,PLANIFICADA,PROCESO,FINALIZADO"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D5A3-70C1-427D-8408-D9C190790C14}">
  <dimension ref="A2:O160"/>
  <sheetViews>
    <sheetView zoomScale="40" zoomScaleNormal="40" workbookViewId="0">
      <selection activeCell="AA17" sqref="AA17"/>
    </sheetView>
  </sheetViews>
  <sheetFormatPr baseColWidth="10" defaultRowHeight="15" x14ac:dyDescent="0.25"/>
  <cols>
    <col min="1" max="1" width="5.85546875" style="28" customWidth="1"/>
    <col min="2" max="2" width="11.140625" style="62" bestFit="1" customWidth="1"/>
    <col min="3" max="4" width="11.140625" style="62" customWidth="1"/>
    <col min="5" max="5" width="53.28515625" style="28" bestFit="1" customWidth="1"/>
    <col min="6" max="6" width="14.42578125" style="63" customWidth="1"/>
    <col min="7" max="8" width="11.42578125" style="63"/>
    <col min="9" max="9" width="22.42578125" style="28" bestFit="1" customWidth="1"/>
    <col min="10" max="10" width="29.28515625" style="65" customWidth="1"/>
    <col min="11" max="12" width="24.85546875" style="65" customWidth="1"/>
    <col min="13" max="13" width="18" style="28" customWidth="1"/>
    <col min="14" max="14" width="35.140625" style="28" bestFit="1" customWidth="1"/>
    <col min="15" max="15" width="13" style="28" bestFit="1" customWidth="1"/>
  </cols>
  <sheetData>
    <row r="2" spans="2:15" ht="30.75" thickBot="1" x14ac:dyDescent="0.3">
      <c r="B2" s="29" t="s">
        <v>218</v>
      </c>
      <c r="C2" s="29" t="s">
        <v>219</v>
      </c>
      <c r="D2" s="29" t="s">
        <v>220</v>
      </c>
      <c r="E2" s="30" t="s">
        <v>221</v>
      </c>
      <c r="F2" s="31" t="s">
        <v>222</v>
      </c>
      <c r="G2" s="31" t="s">
        <v>223</v>
      </c>
      <c r="H2" s="31" t="s">
        <v>224</v>
      </c>
      <c r="I2" s="30" t="s">
        <v>225</v>
      </c>
      <c r="J2" s="29" t="s">
        <v>226</v>
      </c>
      <c r="K2" s="32" t="s">
        <v>227</v>
      </c>
      <c r="L2" s="32" t="s">
        <v>124</v>
      </c>
      <c r="N2" s="129" t="s">
        <v>228</v>
      </c>
      <c r="O2" s="130"/>
    </row>
    <row r="3" spans="2:15" ht="30" x14ac:dyDescent="0.25">
      <c r="B3" s="33">
        <v>46101</v>
      </c>
      <c r="C3" s="33">
        <v>46106</v>
      </c>
      <c r="D3" s="34" t="s">
        <v>229</v>
      </c>
      <c r="E3" s="35" t="s">
        <v>101</v>
      </c>
      <c r="F3" s="33" t="s">
        <v>230</v>
      </c>
      <c r="G3" s="33"/>
      <c r="H3" s="33" t="s">
        <v>230</v>
      </c>
      <c r="I3" s="36" t="s">
        <v>231</v>
      </c>
      <c r="J3" s="37"/>
      <c r="K3" s="37"/>
      <c r="L3" s="26"/>
      <c r="N3" s="38" t="s">
        <v>231</v>
      </c>
      <c r="O3" s="39" t="s">
        <v>232</v>
      </c>
    </row>
    <row r="4" spans="2:15" ht="30" x14ac:dyDescent="0.25">
      <c r="B4" s="33">
        <v>46101</v>
      </c>
      <c r="C4" s="34"/>
      <c r="D4" s="34" t="s">
        <v>229</v>
      </c>
      <c r="E4" s="35" t="s">
        <v>157</v>
      </c>
      <c r="F4" s="33" t="s">
        <v>230</v>
      </c>
      <c r="G4" s="33"/>
      <c r="H4" s="33" t="s">
        <v>230</v>
      </c>
      <c r="I4" s="36" t="s">
        <v>231</v>
      </c>
      <c r="J4" s="37"/>
      <c r="K4" s="37"/>
      <c r="L4" s="26"/>
      <c r="N4" s="38" t="s">
        <v>233</v>
      </c>
      <c r="O4" s="39" t="s">
        <v>234</v>
      </c>
    </row>
    <row r="5" spans="2:15" ht="15.75" thickBot="1" x14ac:dyDescent="0.3">
      <c r="B5" s="33">
        <v>46107</v>
      </c>
      <c r="C5" s="34"/>
      <c r="D5" s="34" t="s">
        <v>235</v>
      </c>
      <c r="E5" s="25" t="s">
        <v>236</v>
      </c>
      <c r="F5" s="33">
        <v>46100</v>
      </c>
      <c r="G5" s="33"/>
      <c r="H5" s="33" t="s">
        <v>230</v>
      </c>
      <c r="I5" s="36" t="s">
        <v>126</v>
      </c>
      <c r="J5" s="34"/>
      <c r="K5" s="34"/>
      <c r="L5" s="26"/>
      <c r="N5" s="40" t="s">
        <v>216</v>
      </c>
      <c r="O5" s="41" t="s">
        <v>237</v>
      </c>
    </row>
    <row r="6" spans="2:15" ht="75" x14ac:dyDescent="0.25">
      <c r="B6" s="33">
        <v>46099</v>
      </c>
      <c r="C6" s="33"/>
      <c r="D6" s="33" t="s">
        <v>238</v>
      </c>
      <c r="E6" s="42" t="s">
        <v>239</v>
      </c>
      <c r="F6" s="33" t="s">
        <v>230</v>
      </c>
      <c r="G6" s="33" t="s">
        <v>230</v>
      </c>
      <c r="H6" s="33" t="s">
        <v>230</v>
      </c>
      <c r="I6" s="36" t="s">
        <v>240</v>
      </c>
      <c r="J6" s="34"/>
      <c r="K6" s="34"/>
      <c r="L6" s="26" t="s">
        <v>241</v>
      </c>
    </row>
    <row r="7" spans="2:15" ht="30" x14ac:dyDescent="0.25">
      <c r="B7" s="43">
        <v>46104</v>
      </c>
      <c r="C7" s="34"/>
      <c r="D7" s="34" t="s">
        <v>242</v>
      </c>
      <c r="E7" s="35" t="s">
        <v>200</v>
      </c>
      <c r="F7" s="33" t="s">
        <v>230</v>
      </c>
      <c r="G7" s="33"/>
      <c r="H7" s="33" t="s">
        <v>230</v>
      </c>
      <c r="I7" s="36" t="s">
        <v>231</v>
      </c>
      <c r="J7" s="37"/>
      <c r="K7" s="37"/>
      <c r="L7" s="26"/>
    </row>
    <row r="8" spans="2:15" ht="30" x14ac:dyDescent="0.25">
      <c r="B8" s="43">
        <v>46104</v>
      </c>
      <c r="C8" s="34"/>
      <c r="D8" s="34" t="s">
        <v>242</v>
      </c>
      <c r="E8" s="35" t="s">
        <v>243</v>
      </c>
      <c r="F8" s="33" t="s">
        <v>230</v>
      </c>
      <c r="G8" s="33"/>
      <c r="H8" s="33" t="s">
        <v>230</v>
      </c>
      <c r="I8" s="36" t="s">
        <v>231</v>
      </c>
      <c r="J8" s="37"/>
      <c r="K8" s="37"/>
      <c r="L8" s="26"/>
    </row>
    <row r="9" spans="2:15" ht="105" x14ac:dyDescent="0.25">
      <c r="B9" s="33">
        <v>46106</v>
      </c>
      <c r="C9" s="34"/>
      <c r="D9" s="34" t="s">
        <v>244</v>
      </c>
      <c r="E9" s="44" t="s">
        <v>179</v>
      </c>
      <c r="F9" s="33" t="s">
        <v>230</v>
      </c>
      <c r="G9" s="33"/>
      <c r="H9" s="33" t="s">
        <v>230</v>
      </c>
      <c r="I9" s="36" t="s">
        <v>245</v>
      </c>
      <c r="J9" s="34"/>
      <c r="K9" s="36" t="s">
        <v>246</v>
      </c>
      <c r="L9" s="26"/>
    </row>
    <row r="10" spans="2:15" ht="30" x14ac:dyDescent="0.25">
      <c r="B10" s="33">
        <v>46099</v>
      </c>
      <c r="C10" s="33"/>
      <c r="D10" s="33" t="s">
        <v>247</v>
      </c>
      <c r="E10" s="45" t="s">
        <v>248</v>
      </c>
      <c r="F10" s="33" t="s">
        <v>230</v>
      </c>
      <c r="G10" s="33"/>
      <c r="H10" s="33" t="s">
        <v>230</v>
      </c>
      <c r="I10" s="36" t="s">
        <v>231</v>
      </c>
      <c r="J10" s="37"/>
      <c r="K10" s="37"/>
      <c r="L10" s="26"/>
    </row>
    <row r="11" spans="2:15" ht="30" x14ac:dyDescent="0.25">
      <c r="B11" s="33">
        <v>46102</v>
      </c>
      <c r="C11" s="34"/>
      <c r="D11" s="34" t="s">
        <v>249</v>
      </c>
      <c r="E11" s="35" t="s">
        <v>183</v>
      </c>
      <c r="F11" s="33" t="s">
        <v>230</v>
      </c>
      <c r="G11" s="33"/>
      <c r="H11" s="33" t="s">
        <v>230</v>
      </c>
      <c r="I11" s="36" t="s">
        <v>231</v>
      </c>
      <c r="J11" s="37"/>
      <c r="K11" s="37"/>
      <c r="L11" s="26"/>
    </row>
    <row r="12" spans="2:15" x14ac:dyDescent="0.25">
      <c r="B12" s="33">
        <v>46107</v>
      </c>
      <c r="C12" s="34"/>
      <c r="D12" s="34" t="s">
        <v>250</v>
      </c>
      <c r="E12" s="44" t="s">
        <v>178</v>
      </c>
      <c r="F12" s="33" t="s">
        <v>230</v>
      </c>
      <c r="G12" s="33"/>
      <c r="H12" s="33" t="s">
        <v>230</v>
      </c>
      <c r="I12" s="36" t="s">
        <v>245</v>
      </c>
      <c r="J12" s="34"/>
      <c r="K12" s="34"/>
      <c r="L12" s="26"/>
    </row>
    <row r="13" spans="2:15" ht="15.75" thickBot="1" x14ac:dyDescent="0.3">
      <c r="B13" s="33">
        <v>46107</v>
      </c>
      <c r="C13" s="33">
        <v>46105</v>
      </c>
      <c r="D13" s="33" t="s">
        <v>251</v>
      </c>
      <c r="E13" s="35" t="s">
        <v>252</v>
      </c>
      <c r="F13" s="33" t="s">
        <v>230</v>
      </c>
      <c r="G13" s="33"/>
      <c r="H13" s="33" t="s">
        <v>230</v>
      </c>
      <c r="I13" s="36" t="s">
        <v>173</v>
      </c>
      <c r="J13" s="34"/>
      <c r="K13" s="34"/>
      <c r="L13" s="26"/>
    </row>
    <row r="14" spans="2:15" ht="15.75" thickBot="1" x14ac:dyDescent="0.3">
      <c r="B14" s="33">
        <v>46099</v>
      </c>
      <c r="C14" s="33">
        <v>46106</v>
      </c>
      <c r="D14" s="33" t="s">
        <v>251</v>
      </c>
      <c r="E14" s="35" t="s">
        <v>160</v>
      </c>
      <c r="F14" s="33" t="s">
        <v>230</v>
      </c>
      <c r="G14" s="33"/>
      <c r="H14" s="33" t="s">
        <v>230</v>
      </c>
      <c r="I14" s="36" t="s">
        <v>173</v>
      </c>
      <c r="J14" s="34"/>
      <c r="K14" s="34"/>
      <c r="L14" s="26"/>
      <c r="N14" s="46" t="s">
        <v>253</v>
      </c>
      <c r="O14" s="47" t="s">
        <v>254</v>
      </c>
    </row>
    <row r="15" spans="2:15" x14ac:dyDescent="0.25">
      <c r="B15" s="33">
        <v>46106</v>
      </c>
      <c r="C15" s="33">
        <v>46107</v>
      </c>
      <c r="D15" s="33" t="s">
        <v>251</v>
      </c>
      <c r="E15" s="35" t="s">
        <v>185</v>
      </c>
      <c r="F15" s="33" t="s">
        <v>230</v>
      </c>
      <c r="G15" s="33"/>
      <c r="H15" s="33" t="s">
        <v>230</v>
      </c>
      <c r="I15" s="36" t="s">
        <v>173</v>
      </c>
      <c r="J15" s="34"/>
      <c r="K15" s="34"/>
      <c r="L15" s="26"/>
      <c r="N15" s="48" t="s">
        <v>255</v>
      </c>
      <c r="O15" s="49">
        <v>55</v>
      </c>
    </row>
    <row r="16" spans="2:15" x14ac:dyDescent="0.25">
      <c r="B16" s="33">
        <v>46100</v>
      </c>
      <c r="C16" s="33">
        <v>46108</v>
      </c>
      <c r="D16" s="33" t="s">
        <v>251</v>
      </c>
      <c r="E16" s="35" t="s">
        <v>204</v>
      </c>
      <c r="F16" s="33" t="s">
        <v>230</v>
      </c>
      <c r="G16" s="33"/>
      <c r="H16" s="33" t="s">
        <v>230</v>
      </c>
      <c r="I16" s="36" t="s">
        <v>173</v>
      </c>
      <c r="J16" s="34"/>
      <c r="K16" s="34"/>
      <c r="L16" s="26"/>
      <c r="N16" s="50" t="s">
        <v>256</v>
      </c>
      <c r="O16" s="51">
        <f>3*2</f>
        <v>6</v>
      </c>
    </row>
    <row r="17" spans="2:15" ht="75.75" thickBot="1" x14ac:dyDescent="0.3">
      <c r="B17" s="33">
        <v>46107</v>
      </c>
      <c r="C17" s="33"/>
      <c r="D17" s="33" t="s">
        <v>257</v>
      </c>
      <c r="E17" s="25" t="s">
        <v>258</v>
      </c>
      <c r="F17" s="33">
        <v>46098</v>
      </c>
      <c r="G17" s="33"/>
      <c r="H17" s="33" t="s">
        <v>230</v>
      </c>
      <c r="I17" s="36"/>
      <c r="J17" s="34"/>
      <c r="K17" s="34"/>
      <c r="L17" s="26" t="s">
        <v>259</v>
      </c>
      <c r="N17" s="52" t="s">
        <v>260</v>
      </c>
      <c r="O17" s="53">
        <f>56*2</f>
        <v>112</v>
      </c>
    </row>
    <row r="18" spans="2:15" ht="75" x14ac:dyDescent="0.25">
      <c r="B18" s="33">
        <v>46106</v>
      </c>
      <c r="C18" s="33"/>
      <c r="D18" s="33" t="s">
        <v>257</v>
      </c>
      <c r="E18" s="25" t="s">
        <v>261</v>
      </c>
      <c r="F18" s="33">
        <v>46099</v>
      </c>
      <c r="G18" s="33"/>
      <c r="H18" s="33" t="s">
        <v>230</v>
      </c>
      <c r="I18" s="36"/>
      <c r="J18" s="34"/>
      <c r="K18" s="36" t="s">
        <v>262</v>
      </c>
      <c r="L18" s="26"/>
    </row>
    <row r="19" spans="2:15" ht="75" x14ac:dyDescent="0.25">
      <c r="B19" s="33">
        <v>46104</v>
      </c>
      <c r="C19" s="33"/>
      <c r="D19" s="33" t="s">
        <v>257</v>
      </c>
      <c r="E19" s="25" t="s">
        <v>263</v>
      </c>
      <c r="F19" s="33">
        <v>46100</v>
      </c>
      <c r="G19" s="33"/>
      <c r="H19" s="33" t="s">
        <v>230</v>
      </c>
      <c r="I19" s="54" t="s">
        <v>264</v>
      </c>
      <c r="J19" s="34"/>
      <c r="K19" s="36" t="s">
        <v>265</v>
      </c>
      <c r="L19" s="37"/>
    </row>
    <row r="20" spans="2:15" x14ac:dyDescent="0.25">
      <c r="B20" s="33">
        <v>46104</v>
      </c>
      <c r="C20" s="33"/>
      <c r="D20" s="33" t="s">
        <v>257</v>
      </c>
      <c r="E20" s="25" t="s">
        <v>266</v>
      </c>
      <c r="F20" s="33">
        <v>46100</v>
      </c>
      <c r="G20" s="33" t="s">
        <v>230</v>
      </c>
      <c r="H20" s="33" t="s">
        <v>230</v>
      </c>
      <c r="I20" s="54" t="s">
        <v>264</v>
      </c>
      <c r="J20" s="34"/>
      <c r="K20" s="34"/>
      <c r="L20" s="37"/>
    </row>
    <row r="21" spans="2:15" x14ac:dyDescent="0.25">
      <c r="B21" s="33">
        <v>46092</v>
      </c>
      <c r="C21" s="33">
        <v>46093</v>
      </c>
      <c r="D21" s="33" t="s">
        <v>267</v>
      </c>
      <c r="E21" s="25" t="s">
        <v>268</v>
      </c>
      <c r="F21" s="33">
        <v>46093</v>
      </c>
      <c r="G21" s="33"/>
      <c r="H21" s="33" t="s">
        <v>230</v>
      </c>
      <c r="I21" s="36" t="s">
        <v>269</v>
      </c>
      <c r="J21" s="26"/>
      <c r="K21" s="26"/>
      <c r="L21" s="55"/>
    </row>
    <row r="22" spans="2:15" ht="90" x14ac:dyDescent="0.25">
      <c r="B22" s="33">
        <v>46092</v>
      </c>
      <c r="C22" s="33">
        <v>46093</v>
      </c>
      <c r="D22" s="33" t="s">
        <v>267</v>
      </c>
      <c r="E22" s="25" t="s">
        <v>270</v>
      </c>
      <c r="F22" s="33" t="s">
        <v>271</v>
      </c>
      <c r="G22" s="33"/>
      <c r="H22" s="33" t="s">
        <v>230</v>
      </c>
      <c r="I22" s="36" t="s">
        <v>269</v>
      </c>
      <c r="J22" s="26"/>
      <c r="K22" s="26" t="s">
        <v>272</v>
      </c>
      <c r="L22" s="37"/>
    </row>
    <row r="23" spans="2:15" x14ac:dyDescent="0.25">
      <c r="B23" s="33">
        <v>46092</v>
      </c>
      <c r="C23" s="33">
        <v>46093</v>
      </c>
      <c r="D23" s="33" t="s">
        <v>267</v>
      </c>
      <c r="E23" s="25" t="s">
        <v>273</v>
      </c>
      <c r="F23" s="33" t="s">
        <v>271</v>
      </c>
      <c r="G23" s="33"/>
      <c r="H23" s="33" t="s">
        <v>230</v>
      </c>
      <c r="I23" s="36" t="s">
        <v>269</v>
      </c>
      <c r="J23" s="26"/>
      <c r="K23" s="26"/>
      <c r="L23" s="26"/>
    </row>
    <row r="24" spans="2:15" x14ac:dyDescent="0.25">
      <c r="B24" s="34"/>
      <c r="C24" s="33"/>
      <c r="D24" s="33" t="s">
        <v>267</v>
      </c>
      <c r="E24" s="25" t="s">
        <v>274</v>
      </c>
      <c r="F24" s="33" t="s">
        <v>275</v>
      </c>
      <c r="G24" s="33"/>
      <c r="H24" s="33" t="s">
        <v>230</v>
      </c>
      <c r="I24" s="26"/>
      <c r="J24" s="26"/>
      <c r="K24" s="26"/>
      <c r="L24" s="37"/>
    </row>
    <row r="25" spans="2:15" x14ac:dyDescent="0.25">
      <c r="B25" s="33">
        <v>46091</v>
      </c>
      <c r="C25" s="33"/>
      <c r="D25" s="33" t="s">
        <v>276</v>
      </c>
      <c r="E25" s="25" t="s">
        <v>277</v>
      </c>
      <c r="F25" s="33">
        <v>46100</v>
      </c>
      <c r="G25" s="33" t="s">
        <v>230</v>
      </c>
      <c r="H25" s="33" t="s">
        <v>230</v>
      </c>
      <c r="I25" s="36" t="s">
        <v>278</v>
      </c>
      <c r="J25" s="34"/>
      <c r="K25" s="34"/>
      <c r="L25" s="26"/>
    </row>
    <row r="26" spans="2:15" ht="75" x14ac:dyDescent="0.25">
      <c r="B26" s="33">
        <v>46092</v>
      </c>
      <c r="C26" s="33"/>
      <c r="D26" s="33" t="s">
        <v>279</v>
      </c>
      <c r="E26" s="25" t="s">
        <v>280</v>
      </c>
      <c r="F26" s="33" t="s">
        <v>230</v>
      </c>
      <c r="G26" s="33" t="s">
        <v>230</v>
      </c>
      <c r="H26" s="33" t="s">
        <v>230</v>
      </c>
      <c r="I26" s="36" t="s">
        <v>240</v>
      </c>
      <c r="J26" s="34"/>
      <c r="K26" s="34"/>
      <c r="L26" s="26" t="s">
        <v>259</v>
      </c>
    </row>
    <row r="27" spans="2:15" ht="30" x14ac:dyDescent="0.25">
      <c r="B27" s="33">
        <v>46108</v>
      </c>
      <c r="C27" s="33"/>
      <c r="D27" s="33" t="s">
        <v>281</v>
      </c>
      <c r="E27" s="35" t="s">
        <v>282</v>
      </c>
      <c r="F27" s="33" t="s">
        <v>230</v>
      </c>
      <c r="G27" s="33"/>
      <c r="H27" s="33" t="s">
        <v>230</v>
      </c>
      <c r="I27" s="36" t="s">
        <v>231</v>
      </c>
      <c r="J27" s="37"/>
      <c r="K27" s="37"/>
      <c r="L27" s="26"/>
    </row>
    <row r="28" spans="2:15" ht="30" x14ac:dyDescent="0.25">
      <c r="B28" s="33">
        <v>46107</v>
      </c>
      <c r="C28" s="33"/>
      <c r="D28" s="33" t="s">
        <v>281</v>
      </c>
      <c r="E28" s="35" t="s">
        <v>283</v>
      </c>
      <c r="F28" s="33" t="s">
        <v>230</v>
      </c>
      <c r="G28" s="33"/>
      <c r="H28" s="33" t="s">
        <v>230</v>
      </c>
      <c r="I28" s="36" t="s">
        <v>231</v>
      </c>
      <c r="J28" s="37"/>
      <c r="K28" s="37"/>
      <c r="L28" s="26"/>
    </row>
    <row r="29" spans="2:15" ht="30" x14ac:dyDescent="0.25">
      <c r="B29" s="33">
        <v>46102</v>
      </c>
      <c r="C29" s="33"/>
      <c r="D29" s="33" t="s">
        <v>284</v>
      </c>
      <c r="E29" s="35" t="s">
        <v>285</v>
      </c>
      <c r="F29" s="33" t="s">
        <v>230</v>
      </c>
      <c r="G29" s="33"/>
      <c r="H29" s="33" t="s">
        <v>230</v>
      </c>
      <c r="I29" s="36" t="s">
        <v>231</v>
      </c>
      <c r="J29" s="37"/>
      <c r="K29" s="37"/>
      <c r="L29" s="26"/>
    </row>
    <row r="30" spans="2:15" x14ac:dyDescent="0.25">
      <c r="B30" s="33"/>
      <c r="C30" s="33"/>
      <c r="D30" s="33" t="s">
        <v>286</v>
      </c>
      <c r="E30" s="25" t="s">
        <v>97</v>
      </c>
      <c r="F30" s="33">
        <v>46058</v>
      </c>
      <c r="G30" s="33"/>
      <c r="H30" s="33" t="s">
        <v>230</v>
      </c>
      <c r="I30" s="34" t="s">
        <v>287</v>
      </c>
      <c r="J30" s="26"/>
      <c r="K30" s="26"/>
      <c r="L30" s="37"/>
    </row>
    <row r="31" spans="2:15" ht="60" x14ac:dyDescent="0.25">
      <c r="B31" s="33">
        <v>46085</v>
      </c>
      <c r="C31" s="33">
        <v>46091</v>
      </c>
      <c r="D31" s="33" t="s">
        <v>286</v>
      </c>
      <c r="E31" s="25" t="s">
        <v>288</v>
      </c>
      <c r="F31" s="33">
        <v>46085</v>
      </c>
      <c r="G31" s="33"/>
      <c r="H31" s="33" t="s">
        <v>230</v>
      </c>
      <c r="I31" s="26" t="s">
        <v>289</v>
      </c>
      <c r="J31" s="26"/>
      <c r="K31" s="26" t="s">
        <v>290</v>
      </c>
      <c r="L31" s="37"/>
    </row>
    <row r="32" spans="2:15" x14ac:dyDescent="0.25">
      <c r="B32" s="33">
        <v>46086</v>
      </c>
      <c r="C32" s="33">
        <v>46094</v>
      </c>
      <c r="D32" s="33" t="s">
        <v>286</v>
      </c>
      <c r="E32" s="35" t="s">
        <v>291</v>
      </c>
      <c r="F32" s="33">
        <v>46085</v>
      </c>
      <c r="G32" s="33"/>
      <c r="H32" s="33" t="s">
        <v>292</v>
      </c>
      <c r="I32" s="26" t="s">
        <v>293</v>
      </c>
      <c r="J32" s="26"/>
      <c r="K32" s="26"/>
      <c r="L32" s="37"/>
    </row>
    <row r="33" spans="2:12" x14ac:dyDescent="0.25">
      <c r="B33" s="33">
        <v>46085</v>
      </c>
      <c r="C33" s="33">
        <v>46092</v>
      </c>
      <c r="D33" s="33" t="s">
        <v>286</v>
      </c>
      <c r="E33" s="35" t="s">
        <v>294</v>
      </c>
      <c r="F33" s="33">
        <v>46085</v>
      </c>
      <c r="G33" s="33"/>
      <c r="H33" s="33">
        <v>46098</v>
      </c>
      <c r="I33" s="26" t="s">
        <v>295</v>
      </c>
      <c r="J33" s="26"/>
      <c r="K33" s="26"/>
      <c r="L33" s="37"/>
    </row>
    <row r="34" spans="2:12" x14ac:dyDescent="0.25">
      <c r="B34" s="33">
        <v>46086</v>
      </c>
      <c r="C34" s="33">
        <v>46094</v>
      </c>
      <c r="D34" s="33" t="s">
        <v>286</v>
      </c>
      <c r="E34" s="25" t="s">
        <v>296</v>
      </c>
      <c r="F34" s="33">
        <v>46086</v>
      </c>
      <c r="G34" s="33"/>
      <c r="H34" s="33" t="s">
        <v>230</v>
      </c>
      <c r="I34" s="26" t="s">
        <v>278</v>
      </c>
      <c r="J34" s="26"/>
      <c r="K34" s="26"/>
      <c r="L34" s="34"/>
    </row>
    <row r="35" spans="2:12" x14ac:dyDescent="0.25">
      <c r="B35" s="33">
        <v>46086</v>
      </c>
      <c r="C35" s="33">
        <v>46094</v>
      </c>
      <c r="D35" s="33" t="s">
        <v>286</v>
      </c>
      <c r="E35" s="25" t="s">
        <v>297</v>
      </c>
      <c r="F35" s="33">
        <v>46086</v>
      </c>
      <c r="G35" s="33"/>
      <c r="H35" s="33" t="s">
        <v>230</v>
      </c>
      <c r="I35" s="26" t="s">
        <v>289</v>
      </c>
      <c r="J35" s="26"/>
      <c r="K35" s="26"/>
      <c r="L35" s="36"/>
    </row>
    <row r="36" spans="2:12" x14ac:dyDescent="0.25">
      <c r="B36" s="33">
        <v>46087</v>
      </c>
      <c r="C36" s="33">
        <v>46094</v>
      </c>
      <c r="D36" s="33" t="s">
        <v>286</v>
      </c>
      <c r="E36" s="25" t="s">
        <v>298</v>
      </c>
      <c r="F36" s="33">
        <v>46086</v>
      </c>
      <c r="G36" s="33" t="s">
        <v>230</v>
      </c>
      <c r="H36" s="33" t="s">
        <v>292</v>
      </c>
      <c r="I36" s="26" t="s">
        <v>278</v>
      </c>
      <c r="J36" s="26"/>
      <c r="K36" s="26"/>
      <c r="L36" s="37"/>
    </row>
    <row r="37" spans="2:12" x14ac:dyDescent="0.25">
      <c r="B37" s="33">
        <v>46087</v>
      </c>
      <c r="C37" s="33">
        <v>46097</v>
      </c>
      <c r="D37" s="33" t="s">
        <v>286</v>
      </c>
      <c r="E37" s="25" t="s">
        <v>299</v>
      </c>
      <c r="F37" s="33">
        <v>46086</v>
      </c>
      <c r="G37" s="33" t="s">
        <v>230</v>
      </c>
      <c r="H37" s="33" t="s">
        <v>292</v>
      </c>
      <c r="I37" s="26" t="s">
        <v>300</v>
      </c>
      <c r="J37" s="26"/>
      <c r="K37" s="26"/>
      <c r="L37" s="37"/>
    </row>
    <row r="38" spans="2:12" x14ac:dyDescent="0.25">
      <c r="B38" s="33">
        <v>46086</v>
      </c>
      <c r="C38" s="33">
        <v>46094</v>
      </c>
      <c r="D38" s="33" t="s">
        <v>286</v>
      </c>
      <c r="E38" s="25" t="s">
        <v>301</v>
      </c>
      <c r="F38" s="33">
        <v>46086</v>
      </c>
      <c r="G38" s="33"/>
      <c r="H38" s="33" t="s">
        <v>230</v>
      </c>
      <c r="I38" s="26" t="s">
        <v>300</v>
      </c>
      <c r="J38" s="26"/>
      <c r="K38" s="26"/>
      <c r="L38" s="34"/>
    </row>
    <row r="39" spans="2:12" ht="75" x14ac:dyDescent="0.25">
      <c r="B39" s="33">
        <v>46086</v>
      </c>
      <c r="C39" s="33">
        <v>46094</v>
      </c>
      <c r="D39" s="33" t="s">
        <v>286</v>
      </c>
      <c r="E39" s="25" t="s">
        <v>302</v>
      </c>
      <c r="F39" s="33">
        <v>46086</v>
      </c>
      <c r="G39" s="33"/>
      <c r="H39" s="33" t="s">
        <v>230</v>
      </c>
      <c r="I39" s="26" t="s">
        <v>295</v>
      </c>
      <c r="J39" s="26"/>
      <c r="K39" s="26"/>
      <c r="L39" s="26" t="s">
        <v>259</v>
      </c>
    </row>
    <row r="40" spans="2:12" x14ac:dyDescent="0.25">
      <c r="B40" s="33">
        <v>46086</v>
      </c>
      <c r="C40" s="33">
        <v>46097</v>
      </c>
      <c r="D40" s="33" t="s">
        <v>286</v>
      </c>
      <c r="E40" s="35" t="s">
        <v>303</v>
      </c>
      <c r="F40" s="33">
        <v>46087</v>
      </c>
      <c r="G40" s="33"/>
      <c r="H40" s="33" t="s">
        <v>292</v>
      </c>
      <c r="I40" s="55" t="s">
        <v>269</v>
      </c>
      <c r="J40" s="26"/>
      <c r="K40" s="26"/>
      <c r="L40" s="37"/>
    </row>
    <row r="41" spans="2:12" x14ac:dyDescent="0.25">
      <c r="B41" s="33">
        <v>46087</v>
      </c>
      <c r="C41" s="33">
        <v>46097</v>
      </c>
      <c r="D41" s="33" t="s">
        <v>286</v>
      </c>
      <c r="E41" s="25" t="s">
        <v>304</v>
      </c>
      <c r="F41" s="33">
        <v>46087</v>
      </c>
      <c r="G41" s="33" t="s">
        <v>230</v>
      </c>
      <c r="H41" s="33" t="s">
        <v>292</v>
      </c>
      <c r="I41" s="26" t="s">
        <v>305</v>
      </c>
      <c r="J41" s="26"/>
      <c r="K41" s="26"/>
      <c r="L41" s="36"/>
    </row>
    <row r="42" spans="2:12" x14ac:dyDescent="0.25">
      <c r="B42" s="33">
        <v>46087</v>
      </c>
      <c r="C42" s="33">
        <v>46094</v>
      </c>
      <c r="D42" s="33" t="s">
        <v>286</v>
      </c>
      <c r="E42" s="25" t="s">
        <v>306</v>
      </c>
      <c r="F42" s="33">
        <v>46087</v>
      </c>
      <c r="G42" s="33"/>
      <c r="H42" s="33" t="s">
        <v>292</v>
      </c>
      <c r="I42" s="26" t="s">
        <v>293</v>
      </c>
      <c r="J42" s="26"/>
      <c r="K42" s="26"/>
      <c r="L42" s="34"/>
    </row>
    <row r="43" spans="2:12" x14ac:dyDescent="0.25">
      <c r="B43" s="33">
        <v>46087</v>
      </c>
      <c r="C43" s="33">
        <v>46092</v>
      </c>
      <c r="D43" s="33" t="s">
        <v>286</v>
      </c>
      <c r="E43" s="25" t="s">
        <v>307</v>
      </c>
      <c r="F43" s="33">
        <v>46087</v>
      </c>
      <c r="G43" s="33" t="s">
        <v>230</v>
      </c>
      <c r="H43" s="33" t="s">
        <v>230</v>
      </c>
      <c r="I43" s="26" t="s">
        <v>295</v>
      </c>
      <c r="J43" s="26"/>
      <c r="K43" s="26"/>
      <c r="L43" s="34"/>
    </row>
    <row r="44" spans="2:12" x14ac:dyDescent="0.25">
      <c r="B44" s="33">
        <v>46090</v>
      </c>
      <c r="C44" s="33">
        <v>46092</v>
      </c>
      <c r="D44" s="33" t="s">
        <v>286</v>
      </c>
      <c r="E44" s="25" t="s">
        <v>308</v>
      </c>
      <c r="F44" s="33">
        <v>46087</v>
      </c>
      <c r="G44" s="33" t="s">
        <v>230</v>
      </c>
      <c r="H44" s="33" t="s">
        <v>230</v>
      </c>
      <c r="I44" s="26" t="s">
        <v>300</v>
      </c>
      <c r="J44" s="26"/>
      <c r="K44" s="26"/>
      <c r="L44" s="34"/>
    </row>
    <row r="45" spans="2:12" x14ac:dyDescent="0.25">
      <c r="B45" s="33">
        <v>46090</v>
      </c>
      <c r="C45" s="33">
        <v>46092</v>
      </c>
      <c r="D45" s="33" t="s">
        <v>286</v>
      </c>
      <c r="E45" s="25" t="s">
        <v>309</v>
      </c>
      <c r="F45" s="33">
        <v>46087</v>
      </c>
      <c r="G45" s="33" t="s">
        <v>230</v>
      </c>
      <c r="H45" s="33" t="s">
        <v>230</v>
      </c>
      <c r="I45" s="36" t="s">
        <v>310</v>
      </c>
      <c r="J45" s="26"/>
      <c r="K45" s="26"/>
      <c r="L45" s="34"/>
    </row>
    <row r="46" spans="2:12" x14ac:dyDescent="0.25">
      <c r="B46" s="33"/>
      <c r="C46" s="33">
        <v>46091</v>
      </c>
      <c r="D46" s="33" t="s">
        <v>286</v>
      </c>
      <c r="E46" s="35" t="s">
        <v>311</v>
      </c>
      <c r="F46" s="33">
        <v>46087</v>
      </c>
      <c r="G46" s="33">
        <v>46066</v>
      </c>
      <c r="H46" s="33">
        <v>46066</v>
      </c>
      <c r="I46" s="36"/>
      <c r="J46" s="26"/>
      <c r="K46" s="26"/>
      <c r="L46" s="55"/>
    </row>
    <row r="47" spans="2:12" ht="60" x14ac:dyDescent="0.25">
      <c r="B47" s="33">
        <v>46086</v>
      </c>
      <c r="C47" s="33">
        <v>46091</v>
      </c>
      <c r="D47" s="33" t="s">
        <v>286</v>
      </c>
      <c r="E47" s="35" t="s">
        <v>312</v>
      </c>
      <c r="F47" s="33">
        <v>46087</v>
      </c>
      <c r="G47" s="33"/>
      <c r="H47" s="33">
        <v>46098</v>
      </c>
      <c r="I47" s="26" t="s">
        <v>289</v>
      </c>
      <c r="J47" s="36"/>
      <c r="K47" s="36" t="s">
        <v>313</v>
      </c>
      <c r="L47" s="37"/>
    </row>
    <row r="48" spans="2:12" x14ac:dyDescent="0.25">
      <c r="B48" s="33">
        <v>46097</v>
      </c>
      <c r="C48" s="33"/>
      <c r="D48" s="33" t="s">
        <v>286</v>
      </c>
      <c r="E48" s="25" t="s">
        <v>314</v>
      </c>
      <c r="F48" s="33">
        <v>46098</v>
      </c>
      <c r="G48" s="33"/>
      <c r="H48" s="33" t="s">
        <v>230</v>
      </c>
      <c r="I48" s="36"/>
      <c r="J48" s="26"/>
      <c r="K48" s="26"/>
      <c r="L48" s="34"/>
    </row>
    <row r="49" spans="2:12" x14ac:dyDescent="0.25">
      <c r="B49" s="33">
        <v>46097</v>
      </c>
      <c r="C49" s="34"/>
      <c r="D49" s="33" t="s">
        <v>286</v>
      </c>
      <c r="E49" s="25" t="s">
        <v>315</v>
      </c>
      <c r="F49" s="33">
        <v>46098</v>
      </c>
      <c r="G49" s="33" t="s">
        <v>230</v>
      </c>
      <c r="H49" s="33" t="s">
        <v>230</v>
      </c>
      <c r="I49" s="36"/>
      <c r="J49" s="26"/>
      <c r="K49" s="26"/>
      <c r="L49" s="37"/>
    </row>
    <row r="50" spans="2:12" ht="45" x14ac:dyDescent="0.25">
      <c r="B50" s="33">
        <v>46090</v>
      </c>
      <c r="C50" s="33">
        <v>46093</v>
      </c>
      <c r="D50" s="33" t="s">
        <v>286</v>
      </c>
      <c r="E50" s="25" t="s">
        <v>316</v>
      </c>
      <c r="F50" s="33">
        <v>46099</v>
      </c>
      <c r="G50" s="33"/>
      <c r="H50" s="33" t="s">
        <v>230</v>
      </c>
      <c r="I50" s="36" t="s">
        <v>289</v>
      </c>
      <c r="J50" s="26"/>
      <c r="K50" s="26" t="s">
        <v>317</v>
      </c>
      <c r="L50" s="55"/>
    </row>
    <row r="51" spans="2:12" ht="30" x14ac:dyDescent="0.25">
      <c r="B51" s="33">
        <v>46097</v>
      </c>
      <c r="C51" s="33"/>
      <c r="D51" s="33" t="s">
        <v>286</v>
      </c>
      <c r="E51" s="25" t="s">
        <v>318</v>
      </c>
      <c r="F51" s="33" t="s">
        <v>271</v>
      </c>
      <c r="G51" s="33"/>
      <c r="H51" s="33" t="s">
        <v>230</v>
      </c>
      <c r="I51" s="36" t="s">
        <v>319</v>
      </c>
      <c r="J51" s="34"/>
      <c r="K51" s="34"/>
      <c r="L51" s="37"/>
    </row>
    <row r="52" spans="2:12" x14ac:dyDescent="0.25">
      <c r="B52" s="33">
        <v>46087</v>
      </c>
      <c r="C52" s="33">
        <v>46097</v>
      </c>
      <c r="D52" s="33" t="s">
        <v>286</v>
      </c>
      <c r="E52" s="25" t="s">
        <v>320</v>
      </c>
      <c r="F52" s="33" t="s">
        <v>275</v>
      </c>
      <c r="G52" s="33"/>
      <c r="H52" s="33" t="s">
        <v>230</v>
      </c>
      <c r="I52" s="36"/>
      <c r="J52" s="26"/>
      <c r="K52" s="26"/>
      <c r="L52" s="34"/>
    </row>
    <row r="53" spans="2:12" x14ac:dyDescent="0.25">
      <c r="B53" s="34"/>
      <c r="C53" s="33">
        <v>46097</v>
      </c>
      <c r="D53" s="33" t="s">
        <v>286</v>
      </c>
      <c r="E53" s="25" t="s">
        <v>321</v>
      </c>
      <c r="F53" s="33" t="s">
        <v>275</v>
      </c>
      <c r="G53" s="33"/>
      <c r="H53" s="33" t="s">
        <v>230</v>
      </c>
      <c r="I53" s="36"/>
      <c r="J53" s="26"/>
      <c r="K53" s="26"/>
      <c r="L53" s="34"/>
    </row>
    <row r="54" spans="2:12" x14ac:dyDescent="0.25">
      <c r="B54" s="33"/>
      <c r="C54" s="33">
        <v>46093</v>
      </c>
      <c r="D54" s="33" t="s">
        <v>286</v>
      </c>
      <c r="E54" s="35" t="s">
        <v>322</v>
      </c>
      <c r="F54" s="33" t="s">
        <v>275</v>
      </c>
      <c r="G54" s="33"/>
      <c r="H54" s="33">
        <v>46066</v>
      </c>
      <c r="I54" s="26"/>
      <c r="J54" s="26"/>
      <c r="K54" s="26"/>
      <c r="L54" s="37"/>
    </row>
    <row r="55" spans="2:12" ht="30" x14ac:dyDescent="0.25">
      <c r="B55" s="33"/>
      <c r="C55" s="33">
        <v>46092</v>
      </c>
      <c r="D55" s="33" t="s">
        <v>286</v>
      </c>
      <c r="E55" s="35" t="s">
        <v>323</v>
      </c>
      <c r="F55" s="33" t="s">
        <v>275</v>
      </c>
      <c r="G55" s="33"/>
      <c r="H55" s="33">
        <v>46064</v>
      </c>
      <c r="I55" s="26" t="s">
        <v>324</v>
      </c>
      <c r="J55" s="26"/>
      <c r="K55" s="26"/>
      <c r="L55" s="34"/>
    </row>
    <row r="56" spans="2:12" ht="45" x14ac:dyDescent="0.25">
      <c r="B56" s="33"/>
      <c r="C56" s="33">
        <v>46092</v>
      </c>
      <c r="D56" s="33" t="s">
        <v>286</v>
      </c>
      <c r="E56" s="35" t="s">
        <v>325</v>
      </c>
      <c r="F56" s="33" t="s">
        <v>275</v>
      </c>
      <c r="G56" s="33"/>
      <c r="H56" s="33">
        <v>46064</v>
      </c>
      <c r="I56" s="56" t="s">
        <v>326</v>
      </c>
      <c r="J56" s="26"/>
      <c r="K56" s="26" t="s">
        <v>327</v>
      </c>
      <c r="L56" s="36"/>
    </row>
    <row r="57" spans="2:12" ht="75" x14ac:dyDescent="0.25">
      <c r="B57" s="33"/>
      <c r="C57" s="33">
        <v>46097</v>
      </c>
      <c r="D57" s="33" t="s">
        <v>286</v>
      </c>
      <c r="E57" s="35" t="s">
        <v>328</v>
      </c>
      <c r="F57" s="33" t="s">
        <v>275</v>
      </c>
      <c r="G57" s="33"/>
      <c r="H57" s="33" t="s">
        <v>271</v>
      </c>
      <c r="I57" s="26"/>
      <c r="J57" s="26"/>
      <c r="K57" s="26" t="s">
        <v>329</v>
      </c>
      <c r="L57" s="34"/>
    </row>
    <row r="58" spans="2:12" x14ac:dyDescent="0.25">
      <c r="B58" s="33"/>
      <c r="C58" s="33">
        <v>46093</v>
      </c>
      <c r="D58" s="33" t="s">
        <v>286</v>
      </c>
      <c r="E58" s="25" t="s">
        <v>330</v>
      </c>
      <c r="F58" s="33" t="s">
        <v>275</v>
      </c>
      <c r="G58" s="33"/>
      <c r="H58" s="33" t="s">
        <v>230</v>
      </c>
      <c r="I58" s="26"/>
      <c r="J58" s="26"/>
      <c r="K58" s="26"/>
      <c r="L58" s="37"/>
    </row>
    <row r="59" spans="2:12" x14ac:dyDescent="0.25">
      <c r="B59" s="33"/>
      <c r="C59" s="33">
        <v>46093</v>
      </c>
      <c r="D59" s="33" t="s">
        <v>286</v>
      </c>
      <c r="E59" s="35" t="s">
        <v>331</v>
      </c>
      <c r="F59" s="33" t="s">
        <v>275</v>
      </c>
      <c r="G59" s="33"/>
      <c r="H59" s="33">
        <v>46065</v>
      </c>
      <c r="I59" s="26"/>
      <c r="J59" s="26"/>
      <c r="K59" s="26"/>
      <c r="L59" s="55"/>
    </row>
    <row r="60" spans="2:12" x14ac:dyDescent="0.25">
      <c r="B60" s="33"/>
      <c r="C60" s="33">
        <v>46093</v>
      </c>
      <c r="D60" s="33" t="s">
        <v>286</v>
      </c>
      <c r="E60" s="35" t="s">
        <v>332</v>
      </c>
      <c r="F60" s="33" t="s">
        <v>275</v>
      </c>
      <c r="G60" s="33"/>
      <c r="H60" s="33">
        <v>46065</v>
      </c>
      <c r="I60" s="26"/>
      <c r="J60" s="26"/>
      <c r="K60" s="26"/>
      <c r="L60" s="36"/>
    </row>
    <row r="61" spans="2:12" x14ac:dyDescent="0.25">
      <c r="B61" s="33"/>
      <c r="C61" s="33"/>
      <c r="D61" s="33" t="s">
        <v>286</v>
      </c>
      <c r="E61" s="35" t="s">
        <v>333</v>
      </c>
      <c r="F61" s="33" t="s">
        <v>275</v>
      </c>
      <c r="G61" s="33"/>
      <c r="H61" s="33" t="s">
        <v>271</v>
      </c>
      <c r="I61" s="26"/>
      <c r="J61" s="26"/>
      <c r="K61" s="26"/>
      <c r="L61" s="37"/>
    </row>
    <row r="62" spans="2:12" ht="105" x14ac:dyDescent="0.25">
      <c r="B62" s="33">
        <v>46093</v>
      </c>
      <c r="C62" s="33">
        <v>46106</v>
      </c>
      <c r="D62" s="33" t="s">
        <v>334</v>
      </c>
      <c r="E62" s="35" t="s">
        <v>158</v>
      </c>
      <c r="F62" s="33" t="s">
        <v>230</v>
      </c>
      <c r="G62" s="33"/>
      <c r="H62" s="33" t="s">
        <v>230</v>
      </c>
      <c r="I62" s="36" t="s">
        <v>172</v>
      </c>
      <c r="J62" s="37"/>
      <c r="K62" s="55" t="s">
        <v>335</v>
      </c>
      <c r="L62" s="37"/>
    </row>
    <row r="63" spans="2:12" ht="30" x14ac:dyDescent="0.25">
      <c r="B63" s="33">
        <v>46099</v>
      </c>
      <c r="C63" s="33"/>
      <c r="D63" s="33" t="s">
        <v>336</v>
      </c>
      <c r="E63" s="35" t="s">
        <v>337</v>
      </c>
      <c r="F63" s="33" t="s">
        <v>230</v>
      </c>
      <c r="G63" s="33"/>
      <c r="H63" s="33" t="s">
        <v>230</v>
      </c>
      <c r="I63" s="36" t="s">
        <v>231</v>
      </c>
      <c r="J63" s="37"/>
      <c r="K63" s="37"/>
      <c r="L63" s="37"/>
    </row>
    <row r="64" spans="2:12" ht="30" x14ac:dyDescent="0.25">
      <c r="B64" s="33">
        <v>46099</v>
      </c>
      <c r="C64" s="34"/>
      <c r="D64" s="34" t="s">
        <v>336</v>
      </c>
      <c r="E64" s="35" t="s">
        <v>338</v>
      </c>
      <c r="F64" s="33" t="s">
        <v>230</v>
      </c>
      <c r="G64" s="33"/>
      <c r="H64" s="33" t="s">
        <v>230</v>
      </c>
      <c r="I64" s="36" t="s">
        <v>231</v>
      </c>
      <c r="J64" s="37"/>
      <c r="K64" s="37"/>
      <c r="L64" s="36"/>
    </row>
    <row r="65" spans="2:14" x14ac:dyDescent="0.25">
      <c r="B65" s="33">
        <v>46111</v>
      </c>
      <c r="C65" s="34"/>
      <c r="D65" s="34" t="s">
        <v>339</v>
      </c>
      <c r="E65" s="44" t="s">
        <v>150</v>
      </c>
      <c r="F65" s="33" t="s">
        <v>230</v>
      </c>
      <c r="G65" s="33"/>
      <c r="H65" s="33" t="s">
        <v>230</v>
      </c>
      <c r="I65" s="36" t="s">
        <v>245</v>
      </c>
      <c r="J65" s="34"/>
      <c r="K65" s="34"/>
      <c r="L65" s="34"/>
    </row>
    <row r="66" spans="2:14" x14ac:dyDescent="0.25">
      <c r="B66" s="33">
        <v>46112</v>
      </c>
      <c r="C66" s="34"/>
      <c r="D66" s="34" t="s">
        <v>339</v>
      </c>
      <c r="E66" s="44" t="s">
        <v>151</v>
      </c>
      <c r="F66" s="33" t="s">
        <v>230</v>
      </c>
      <c r="G66" s="33"/>
      <c r="H66" s="33" t="s">
        <v>230</v>
      </c>
      <c r="I66" s="36" t="s">
        <v>245</v>
      </c>
      <c r="J66" s="34"/>
      <c r="K66" s="34"/>
      <c r="L66" s="34"/>
    </row>
    <row r="67" spans="2:14" ht="75" x14ac:dyDescent="0.25">
      <c r="B67" s="33">
        <v>46104</v>
      </c>
      <c r="C67" s="33"/>
      <c r="D67" s="33" t="s">
        <v>340</v>
      </c>
      <c r="E67" s="25" t="s">
        <v>341</v>
      </c>
      <c r="F67" s="33" t="s">
        <v>230</v>
      </c>
      <c r="G67" s="33"/>
      <c r="H67" s="33" t="s">
        <v>230</v>
      </c>
      <c r="I67" s="36" t="s">
        <v>342</v>
      </c>
      <c r="J67" s="34"/>
      <c r="K67" s="36" t="s">
        <v>343</v>
      </c>
      <c r="L67" s="37"/>
    </row>
    <row r="68" spans="2:14" ht="30" x14ac:dyDescent="0.25">
      <c r="B68" s="33">
        <v>46101</v>
      </c>
      <c r="C68" s="34"/>
      <c r="D68" s="34" t="s">
        <v>344</v>
      </c>
      <c r="E68" s="35" t="s">
        <v>345</v>
      </c>
      <c r="F68" s="33" t="s">
        <v>230</v>
      </c>
      <c r="G68" s="33"/>
      <c r="H68" s="33" t="s">
        <v>230</v>
      </c>
      <c r="I68" s="36" t="s">
        <v>231</v>
      </c>
      <c r="J68" s="37"/>
      <c r="K68" s="37"/>
      <c r="L68" s="37"/>
    </row>
    <row r="69" spans="2:14" ht="135" x14ac:dyDescent="0.25">
      <c r="B69" s="33">
        <v>46090</v>
      </c>
      <c r="C69" s="33"/>
      <c r="D69" s="57" t="s">
        <v>346</v>
      </c>
      <c r="E69" s="35" t="s">
        <v>347</v>
      </c>
      <c r="F69" s="33" t="s">
        <v>275</v>
      </c>
      <c r="G69" s="33"/>
      <c r="H69" s="33" t="s">
        <v>230</v>
      </c>
      <c r="I69" s="36" t="s">
        <v>216</v>
      </c>
      <c r="J69" s="37"/>
      <c r="K69" s="55" t="s">
        <v>348</v>
      </c>
      <c r="L69" s="34"/>
    </row>
    <row r="70" spans="2:14" x14ac:dyDescent="0.25">
      <c r="B70" s="33">
        <v>46090</v>
      </c>
      <c r="C70" s="33"/>
      <c r="D70" s="57" t="s">
        <v>346</v>
      </c>
      <c r="E70" s="35" t="s">
        <v>203</v>
      </c>
      <c r="F70" s="33" t="s">
        <v>230</v>
      </c>
      <c r="G70" s="33"/>
      <c r="H70" s="33" t="s">
        <v>230</v>
      </c>
      <c r="I70" s="36" t="s">
        <v>216</v>
      </c>
      <c r="J70" s="37"/>
      <c r="K70" s="37"/>
      <c r="L70" s="34"/>
    </row>
    <row r="71" spans="2:14" x14ac:dyDescent="0.25">
      <c r="B71" s="33">
        <v>46106</v>
      </c>
      <c r="C71" s="34"/>
      <c r="D71" s="34" t="s">
        <v>349</v>
      </c>
      <c r="E71" s="25" t="s">
        <v>350</v>
      </c>
      <c r="F71" s="33" t="s">
        <v>230</v>
      </c>
      <c r="G71" s="33"/>
      <c r="H71" s="33" t="s">
        <v>230</v>
      </c>
      <c r="I71" s="36" t="s">
        <v>240</v>
      </c>
      <c r="J71" s="34"/>
      <c r="K71" s="34"/>
      <c r="L71" s="37"/>
    </row>
    <row r="72" spans="2:14" ht="75" x14ac:dyDescent="0.25">
      <c r="B72" s="33">
        <v>46102</v>
      </c>
      <c r="C72" s="34"/>
      <c r="D72" s="34" t="s">
        <v>349</v>
      </c>
      <c r="E72" s="35" t="s">
        <v>182</v>
      </c>
      <c r="F72" s="33" t="s">
        <v>230</v>
      </c>
      <c r="G72" s="33"/>
      <c r="H72" s="33" t="s">
        <v>230</v>
      </c>
      <c r="I72" s="36" t="s">
        <v>231</v>
      </c>
      <c r="J72" s="37"/>
      <c r="K72" s="37"/>
      <c r="L72" s="26" t="s">
        <v>259</v>
      </c>
      <c r="M72" s="58"/>
    </row>
    <row r="73" spans="2:14" x14ac:dyDescent="0.25">
      <c r="B73" s="33">
        <v>46091</v>
      </c>
      <c r="C73" s="33">
        <v>46108</v>
      </c>
      <c r="D73" s="33" t="s">
        <v>351</v>
      </c>
      <c r="E73" s="35" t="s">
        <v>198</v>
      </c>
      <c r="F73" s="33" t="s">
        <v>275</v>
      </c>
      <c r="G73" s="33"/>
      <c r="H73" s="33" t="s">
        <v>230</v>
      </c>
      <c r="I73" s="36" t="s">
        <v>172</v>
      </c>
      <c r="J73" s="37"/>
      <c r="K73" s="37"/>
      <c r="L73" s="34"/>
      <c r="N73" s="28" t="s">
        <v>230</v>
      </c>
    </row>
    <row r="74" spans="2:14" x14ac:dyDescent="0.25">
      <c r="B74" s="33">
        <v>46091</v>
      </c>
      <c r="C74" s="33">
        <v>46108</v>
      </c>
      <c r="D74" s="33" t="s">
        <v>352</v>
      </c>
      <c r="E74" s="35" t="s">
        <v>199</v>
      </c>
      <c r="F74" s="33" t="s">
        <v>230</v>
      </c>
      <c r="G74" s="33"/>
      <c r="H74" s="33" t="s">
        <v>230</v>
      </c>
      <c r="I74" s="36" t="s">
        <v>172</v>
      </c>
      <c r="J74" s="37"/>
      <c r="K74" s="37"/>
      <c r="L74" s="34"/>
    </row>
    <row r="75" spans="2:14" x14ac:dyDescent="0.25">
      <c r="B75" s="33">
        <v>46092</v>
      </c>
      <c r="C75" s="33"/>
      <c r="D75" s="33" t="s">
        <v>353</v>
      </c>
      <c r="E75" s="59" t="s">
        <v>354</v>
      </c>
      <c r="F75" s="33" t="s">
        <v>230</v>
      </c>
      <c r="G75" s="33"/>
      <c r="H75" s="33" t="s">
        <v>230</v>
      </c>
      <c r="I75" s="36" t="s">
        <v>245</v>
      </c>
      <c r="J75" s="34"/>
      <c r="K75" s="34"/>
      <c r="L75" s="34"/>
    </row>
    <row r="76" spans="2:14" x14ac:dyDescent="0.25">
      <c r="B76" s="33">
        <v>46093</v>
      </c>
      <c r="C76" s="33"/>
      <c r="D76" s="33" t="s">
        <v>353</v>
      </c>
      <c r="E76" s="59" t="s">
        <v>355</v>
      </c>
      <c r="F76" s="33" t="s">
        <v>230</v>
      </c>
      <c r="G76" s="33"/>
      <c r="H76" s="33" t="s">
        <v>230</v>
      </c>
      <c r="I76" s="36" t="s">
        <v>245</v>
      </c>
      <c r="J76" s="34"/>
      <c r="K76" s="34"/>
      <c r="L76" s="55"/>
    </row>
    <row r="77" spans="2:14" ht="75" x14ac:dyDescent="0.25">
      <c r="B77" s="33">
        <v>46094</v>
      </c>
      <c r="C77" s="33"/>
      <c r="D77" s="33" t="s">
        <v>353</v>
      </c>
      <c r="E77" s="59" t="s">
        <v>356</v>
      </c>
      <c r="F77" s="33" t="s">
        <v>230</v>
      </c>
      <c r="G77" s="33"/>
      <c r="H77" s="33" t="s">
        <v>230</v>
      </c>
      <c r="I77" s="36" t="s">
        <v>245</v>
      </c>
      <c r="J77" s="34"/>
      <c r="K77" s="36" t="s">
        <v>357</v>
      </c>
      <c r="L77" s="34"/>
    </row>
    <row r="78" spans="2:14" x14ac:dyDescent="0.25">
      <c r="B78" s="33">
        <v>46106</v>
      </c>
      <c r="C78" s="33"/>
      <c r="D78" s="33" t="s">
        <v>353</v>
      </c>
      <c r="E78" s="44" t="s">
        <v>358</v>
      </c>
      <c r="F78" s="33" t="s">
        <v>230</v>
      </c>
      <c r="G78" s="33"/>
      <c r="H78" s="33" t="s">
        <v>230</v>
      </c>
      <c r="I78" s="36" t="s">
        <v>245</v>
      </c>
      <c r="J78" s="34"/>
      <c r="K78" s="34"/>
      <c r="L78" s="34"/>
    </row>
    <row r="79" spans="2:14" x14ac:dyDescent="0.25">
      <c r="B79" s="33">
        <v>46104</v>
      </c>
      <c r="C79" s="33"/>
      <c r="D79" s="33" t="s">
        <v>359</v>
      </c>
      <c r="E79" s="25" t="s">
        <v>360</v>
      </c>
      <c r="F79" s="33">
        <v>46100</v>
      </c>
      <c r="G79" s="33"/>
      <c r="H79" s="33" t="s">
        <v>230</v>
      </c>
      <c r="I79" s="36" t="s">
        <v>361</v>
      </c>
      <c r="J79" s="34"/>
      <c r="K79" s="34"/>
      <c r="L79" s="37"/>
    </row>
    <row r="80" spans="2:14" x14ac:dyDescent="0.25">
      <c r="B80" s="33">
        <v>46105</v>
      </c>
      <c r="C80" s="33"/>
      <c r="D80" s="33" t="s">
        <v>359</v>
      </c>
      <c r="E80" s="25" t="s">
        <v>362</v>
      </c>
      <c r="F80" s="33">
        <v>46100</v>
      </c>
      <c r="G80" s="33" t="s">
        <v>230</v>
      </c>
      <c r="H80" s="33" t="s">
        <v>230</v>
      </c>
      <c r="I80" s="36" t="s">
        <v>361</v>
      </c>
      <c r="J80" s="34"/>
      <c r="K80" s="34"/>
      <c r="L80" s="37"/>
    </row>
    <row r="81" spans="2:13" ht="45" x14ac:dyDescent="0.25">
      <c r="B81" s="33">
        <v>46108</v>
      </c>
      <c r="C81" s="34"/>
      <c r="D81" s="34" t="s">
        <v>363</v>
      </c>
      <c r="E81" s="44" t="s">
        <v>177</v>
      </c>
      <c r="F81" s="33" t="s">
        <v>230</v>
      </c>
      <c r="G81" s="33"/>
      <c r="H81" s="33" t="s">
        <v>230</v>
      </c>
      <c r="I81" s="36" t="s">
        <v>245</v>
      </c>
      <c r="J81" s="34"/>
      <c r="K81" s="36" t="s">
        <v>364</v>
      </c>
      <c r="L81" s="36" t="s">
        <v>365</v>
      </c>
    </row>
    <row r="82" spans="2:13" x14ac:dyDescent="0.25">
      <c r="B82" s="33">
        <v>46105</v>
      </c>
      <c r="C82" s="33"/>
      <c r="D82" s="33" t="s">
        <v>366</v>
      </c>
      <c r="E82" s="25" t="s">
        <v>367</v>
      </c>
      <c r="F82" s="33">
        <v>46100</v>
      </c>
      <c r="G82" s="33" t="s">
        <v>230</v>
      </c>
      <c r="H82" s="33" t="s">
        <v>230</v>
      </c>
      <c r="I82" s="36" t="s">
        <v>368</v>
      </c>
      <c r="J82" s="34"/>
      <c r="K82" s="34"/>
      <c r="L82" s="34"/>
    </row>
    <row r="83" spans="2:13" x14ac:dyDescent="0.25">
      <c r="B83" s="33">
        <v>46105</v>
      </c>
      <c r="C83" s="33"/>
      <c r="D83" s="33" t="s">
        <v>366</v>
      </c>
      <c r="E83" s="25" t="s">
        <v>369</v>
      </c>
      <c r="F83" s="33" t="s">
        <v>275</v>
      </c>
      <c r="G83" s="33"/>
      <c r="H83" s="33" t="s">
        <v>230</v>
      </c>
      <c r="I83" s="36" t="s">
        <v>342</v>
      </c>
      <c r="J83" s="37"/>
      <c r="K83" s="37"/>
      <c r="L83" s="34"/>
    </row>
    <row r="84" spans="2:13" ht="30" x14ac:dyDescent="0.25">
      <c r="B84" s="33">
        <v>46106</v>
      </c>
      <c r="C84" s="34"/>
      <c r="D84" s="34" t="s">
        <v>370</v>
      </c>
      <c r="E84" s="35" t="s">
        <v>371</v>
      </c>
      <c r="F84" s="33" t="s">
        <v>230</v>
      </c>
      <c r="G84" s="33"/>
      <c r="H84" s="33" t="s">
        <v>230</v>
      </c>
      <c r="I84" s="36" t="s">
        <v>231</v>
      </c>
      <c r="J84" s="37"/>
      <c r="K84" s="37"/>
      <c r="L84" s="37"/>
    </row>
    <row r="85" spans="2:13" x14ac:dyDescent="0.25">
      <c r="B85" s="33">
        <v>46106</v>
      </c>
      <c r="C85" s="33">
        <v>46107</v>
      </c>
      <c r="D85" s="33" t="s">
        <v>372</v>
      </c>
      <c r="E85" s="35" t="s">
        <v>176</v>
      </c>
      <c r="F85" s="33" t="s">
        <v>230</v>
      </c>
      <c r="G85" s="33"/>
      <c r="H85" s="33" t="s">
        <v>230</v>
      </c>
      <c r="I85" s="36" t="s">
        <v>172</v>
      </c>
      <c r="J85" s="37"/>
      <c r="K85" s="37"/>
      <c r="L85" s="34"/>
      <c r="M85" s="60"/>
    </row>
    <row r="86" spans="2:13" ht="30" x14ac:dyDescent="0.25">
      <c r="B86" s="33">
        <v>46105</v>
      </c>
      <c r="C86" s="34"/>
      <c r="D86" s="34" t="s">
        <v>373</v>
      </c>
      <c r="E86" s="35" t="s">
        <v>374</v>
      </c>
      <c r="F86" s="33" t="s">
        <v>230</v>
      </c>
      <c r="G86" s="33"/>
      <c r="H86" s="33" t="s">
        <v>230</v>
      </c>
      <c r="I86" s="36" t="s">
        <v>231</v>
      </c>
      <c r="J86" s="37"/>
      <c r="K86" s="37"/>
      <c r="L86" s="34"/>
    </row>
    <row r="87" spans="2:13" ht="30" x14ac:dyDescent="0.25">
      <c r="B87" s="33">
        <v>46105</v>
      </c>
      <c r="C87" s="34"/>
      <c r="D87" s="34" t="s">
        <v>373</v>
      </c>
      <c r="E87" s="35" t="s">
        <v>375</v>
      </c>
      <c r="F87" s="33" t="s">
        <v>230</v>
      </c>
      <c r="G87" s="33"/>
      <c r="H87" s="33" t="s">
        <v>230</v>
      </c>
      <c r="I87" s="36" t="s">
        <v>231</v>
      </c>
      <c r="J87" s="37"/>
      <c r="K87" s="37"/>
      <c r="L87" s="37"/>
    </row>
    <row r="88" spans="2:13" x14ac:dyDescent="0.25">
      <c r="B88" s="33">
        <v>46101</v>
      </c>
      <c r="C88" s="33">
        <v>46111</v>
      </c>
      <c r="D88" s="33" t="s">
        <v>376</v>
      </c>
      <c r="E88" s="35" t="s">
        <v>377</v>
      </c>
      <c r="F88" s="33" t="s">
        <v>230</v>
      </c>
      <c r="G88" s="33"/>
      <c r="H88" s="33" t="s">
        <v>230</v>
      </c>
      <c r="I88" s="36" t="s">
        <v>173</v>
      </c>
      <c r="J88" s="34"/>
      <c r="K88" s="34"/>
      <c r="L88" s="37"/>
    </row>
    <row r="89" spans="2:13" x14ac:dyDescent="0.25">
      <c r="B89" s="33">
        <v>46107</v>
      </c>
      <c r="C89" s="33"/>
      <c r="D89" s="33" t="s">
        <v>378</v>
      </c>
      <c r="E89" s="25" t="s">
        <v>379</v>
      </c>
      <c r="F89" s="33" t="s">
        <v>230</v>
      </c>
      <c r="G89" s="33"/>
      <c r="H89" s="33" t="s">
        <v>230</v>
      </c>
      <c r="I89" s="36" t="s">
        <v>245</v>
      </c>
      <c r="J89" s="34"/>
      <c r="K89" s="34"/>
      <c r="L89" s="34"/>
    </row>
    <row r="90" spans="2:13" x14ac:dyDescent="0.25">
      <c r="B90" s="33">
        <v>46099</v>
      </c>
      <c r="C90" s="33"/>
      <c r="D90" s="33" t="s">
        <v>378</v>
      </c>
      <c r="E90" s="25" t="s">
        <v>380</v>
      </c>
      <c r="F90" s="33" t="s">
        <v>230</v>
      </c>
      <c r="G90" s="33"/>
      <c r="H90" s="33" t="s">
        <v>230</v>
      </c>
      <c r="I90" s="36" t="s">
        <v>245</v>
      </c>
      <c r="J90" s="34"/>
      <c r="K90" s="34"/>
      <c r="L90" s="34"/>
    </row>
    <row r="91" spans="2:13" x14ac:dyDescent="0.25">
      <c r="B91" s="33">
        <v>46106</v>
      </c>
      <c r="C91" s="33"/>
      <c r="D91" s="33" t="s">
        <v>381</v>
      </c>
      <c r="E91" s="25" t="s">
        <v>382</v>
      </c>
      <c r="F91" s="33" t="s">
        <v>230</v>
      </c>
      <c r="G91" s="33"/>
      <c r="H91" s="33" t="s">
        <v>230</v>
      </c>
      <c r="I91" s="54" t="s">
        <v>383</v>
      </c>
      <c r="J91" s="34"/>
      <c r="K91" s="34"/>
      <c r="L91" s="34"/>
    </row>
    <row r="92" spans="2:13" ht="45" x14ac:dyDescent="0.25">
      <c r="B92" s="33">
        <v>46099</v>
      </c>
      <c r="C92" s="33"/>
      <c r="D92" s="33" t="s">
        <v>384</v>
      </c>
      <c r="E92" s="35" t="s">
        <v>385</v>
      </c>
      <c r="F92" s="33">
        <v>46099</v>
      </c>
      <c r="G92" s="33"/>
      <c r="H92" s="33" t="s">
        <v>271</v>
      </c>
      <c r="I92" s="36" t="s">
        <v>386</v>
      </c>
      <c r="J92" s="34"/>
      <c r="K92" s="36" t="s">
        <v>387</v>
      </c>
      <c r="L92" s="37"/>
    </row>
    <row r="93" spans="2:13" ht="120" x14ac:dyDescent="0.25">
      <c r="B93" s="33">
        <v>46105</v>
      </c>
      <c r="C93" s="34"/>
      <c r="D93" s="34" t="s">
        <v>388</v>
      </c>
      <c r="E93" s="44" t="s">
        <v>389</v>
      </c>
      <c r="F93" s="33" t="s">
        <v>275</v>
      </c>
      <c r="G93" s="33"/>
      <c r="H93" s="33" t="s">
        <v>230</v>
      </c>
      <c r="I93" s="36" t="s">
        <v>245</v>
      </c>
      <c r="J93" s="37"/>
      <c r="K93" s="55" t="s">
        <v>390</v>
      </c>
      <c r="L93" s="34"/>
    </row>
    <row r="94" spans="2:13" x14ac:dyDescent="0.25">
      <c r="B94" s="33">
        <v>46105</v>
      </c>
      <c r="C94" s="34"/>
      <c r="D94" s="34" t="s">
        <v>388</v>
      </c>
      <c r="E94" s="44" t="s">
        <v>149</v>
      </c>
      <c r="F94" s="33" t="s">
        <v>275</v>
      </c>
      <c r="G94" s="33"/>
      <c r="H94" s="33" t="s">
        <v>230</v>
      </c>
      <c r="I94" s="36" t="s">
        <v>245</v>
      </c>
      <c r="J94" s="37"/>
      <c r="K94" s="37"/>
      <c r="L94" s="37"/>
    </row>
    <row r="95" spans="2:13" x14ac:dyDescent="0.25">
      <c r="B95" s="33">
        <v>46100</v>
      </c>
      <c r="C95" s="34"/>
      <c r="D95" s="34" t="s">
        <v>388</v>
      </c>
      <c r="E95" s="44" t="s">
        <v>391</v>
      </c>
      <c r="F95" s="33" t="s">
        <v>230</v>
      </c>
      <c r="G95" s="33"/>
      <c r="H95" s="33" t="s">
        <v>230</v>
      </c>
      <c r="I95" s="36" t="s">
        <v>245</v>
      </c>
      <c r="J95" s="34"/>
      <c r="K95" s="34"/>
      <c r="L95" s="37"/>
    </row>
    <row r="96" spans="2:13" x14ac:dyDescent="0.25">
      <c r="B96" s="33">
        <v>46101</v>
      </c>
      <c r="C96" s="34"/>
      <c r="D96" s="34" t="s">
        <v>388</v>
      </c>
      <c r="E96" s="44" t="s">
        <v>392</v>
      </c>
      <c r="F96" s="33" t="s">
        <v>230</v>
      </c>
      <c r="G96" s="33"/>
      <c r="H96" s="33" t="s">
        <v>230</v>
      </c>
      <c r="I96" s="36" t="s">
        <v>245</v>
      </c>
      <c r="J96" s="34"/>
      <c r="K96" s="34"/>
      <c r="L96" s="34"/>
    </row>
    <row r="97" spans="2:12" x14ac:dyDescent="0.25">
      <c r="B97" s="33">
        <v>46104</v>
      </c>
      <c r="C97" s="34"/>
      <c r="D97" s="34" t="s">
        <v>388</v>
      </c>
      <c r="E97" s="44" t="s">
        <v>393</v>
      </c>
      <c r="F97" s="33" t="s">
        <v>230</v>
      </c>
      <c r="G97" s="33"/>
      <c r="H97" s="33" t="s">
        <v>230</v>
      </c>
      <c r="I97" s="36" t="s">
        <v>245</v>
      </c>
      <c r="J97" s="34"/>
      <c r="K97" s="34"/>
      <c r="L97" s="37"/>
    </row>
    <row r="98" spans="2:12" ht="30" x14ac:dyDescent="0.25">
      <c r="B98" s="33">
        <v>46099</v>
      </c>
      <c r="C98" s="33"/>
      <c r="D98" s="33" t="s">
        <v>394</v>
      </c>
      <c r="E98" s="25" t="s">
        <v>395</v>
      </c>
      <c r="F98" s="33">
        <v>46099</v>
      </c>
      <c r="G98" s="33"/>
      <c r="H98" s="33" t="s">
        <v>230</v>
      </c>
      <c r="I98" s="36" t="s">
        <v>386</v>
      </c>
      <c r="J98" s="34"/>
      <c r="K98" s="34"/>
      <c r="L98" s="34"/>
    </row>
    <row r="99" spans="2:12" x14ac:dyDescent="0.25">
      <c r="B99" s="33">
        <v>46093</v>
      </c>
      <c r="C99" s="34"/>
      <c r="D99" s="34" t="s">
        <v>396</v>
      </c>
      <c r="E99" s="25" t="s">
        <v>397</v>
      </c>
      <c r="F99" s="33">
        <v>46100</v>
      </c>
      <c r="G99" s="33"/>
      <c r="H99" s="33" t="s">
        <v>230</v>
      </c>
      <c r="I99" s="36" t="s">
        <v>278</v>
      </c>
      <c r="J99" s="34"/>
      <c r="K99" s="34"/>
      <c r="L99" s="37"/>
    </row>
    <row r="100" spans="2:12" ht="90" x14ac:dyDescent="0.25">
      <c r="B100" s="33">
        <v>46108</v>
      </c>
      <c r="C100" s="33"/>
      <c r="D100" s="33" t="s">
        <v>398</v>
      </c>
      <c r="E100" s="35" t="s">
        <v>399</v>
      </c>
      <c r="F100" s="33">
        <v>46006</v>
      </c>
      <c r="G100" s="33"/>
      <c r="H100" s="33" t="s">
        <v>275</v>
      </c>
      <c r="I100" s="34" t="s">
        <v>400</v>
      </c>
      <c r="J100" s="37"/>
      <c r="K100" s="55" t="s">
        <v>401</v>
      </c>
      <c r="L100" s="37"/>
    </row>
    <row r="101" spans="2:12" x14ac:dyDescent="0.25">
      <c r="B101" s="33">
        <v>46090</v>
      </c>
      <c r="C101" s="33"/>
      <c r="D101" s="33" t="s">
        <v>398</v>
      </c>
      <c r="E101" s="35" t="s">
        <v>402</v>
      </c>
      <c r="F101" s="33">
        <v>46090</v>
      </c>
      <c r="G101" s="33"/>
      <c r="H101" s="33">
        <v>46101</v>
      </c>
      <c r="I101" s="34" t="s">
        <v>400</v>
      </c>
      <c r="J101" s="37"/>
      <c r="K101" s="37"/>
      <c r="L101" s="34"/>
    </row>
    <row r="102" spans="2:12" x14ac:dyDescent="0.25">
      <c r="B102" s="33">
        <v>46092</v>
      </c>
      <c r="C102" s="33"/>
      <c r="D102" s="33" t="s">
        <v>398</v>
      </c>
      <c r="E102" s="35" t="s">
        <v>403</v>
      </c>
      <c r="F102" s="33">
        <v>46092</v>
      </c>
      <c r="G102" s="33"/>
      <c r="H102" s="33" t="s">
        <v>230</v>
      </c>
      <c r="I102" s="34" t="s">
        <v>400</v>
      </c>
      <c r="J102" s="37"/>
      <c r="K102" s="37"/>
      <c r="L102" s="37"/>
    </row>
    <row r="103" spans="2:12" x14ac:dyDescent="0.25">
      <c r="B103" s="33">
        <v>46093</v>
      </c>
      <c r="C103" s="33"/>
      <c r="D103" s="33" t="s">
        <v>398</v>
      </c>
      <c r="E103" s="35" t="s">
        <v>404</v>
      </c>
      <c r="F103" s="33">
        <v>46093</v>
      </c>
      <c r="G103" s="33"/>
      <c r="H103" s="33">
        <v>46101</v>
      </c>
      <c r="I103" s="34" t="s">
        <v>400</v>
      </c>
      <c r="J103" s="37"/>
      <c r="K103" s="37"/>
      <c r="L103" s="37"/>
    </row>
    <row r="104" spans="2:12" x14ac:dyDescent="0.25">
      <c r="B104" s="33">
        <v>46093</v>
      </c>
      <c r="C104" s="33"/>
      <c r="D104" s="33" t="s">
        <v>398</v>
      </c>
      <c r="E104" s="35" t="s">
        <v>405</v>
      </c>
      <c r="F104" s="33">
        <v>46093</v>
      </c>
      <c r="G104" s="33"/>
      <c r="H104" s="33" t="s">
        <v>230</v>
      </c>
      <c r="I104" s="34" t="s">
        <v>400</v>
      </c>
      <c r="J104" s="37"/>
      <c r="K104" s="37"/>
      <c r="L104" s="37"/>
    </row>
    <row r="105" spans="2:12" ht="30" x14ac:dyDescent="0.25">
      <c r="B105" s="33">
        <v>46097</v>
      </c>
      <c r="C105" s="33"/>
      <c r="D105" s="33" t="s">
        <v>398</v>
      </c>
      <c r="E105" s="35" t="s">
        <v>406</v>
      </c>
      <c r="F105" s="33">
        <v>46097</v>
      </c>
      <c r="G105" s="33"/>
      <c r="H105" s="33" t="s">
        <v>230</v>
      </c>
      <c r="I105" s="36" t="s">
        <v>231</v>
      </c>
      <c r="J105" s="37"/>
      <c r="K105" s="37"/>
      <c r="L105" s="34"/>
    </row>
    <row r="106" spans="2:12" ht="30" x14ac:dyDescent="0.25">
      <c r="B106" s="33">
        <v>46097</v>
      </c>
      <c r="C106" s="33"/>
      <c r="D106" s="33" t="s">
        <v>398</v>
      </c>
      <c r="E106" s="35" t="s">
        <v>407</v>
      </c>
      <c r="F106" s="33">
        <v>46097</v>
      </c>
      <c r="G106" s="33"/>
      <c r="H106" s="33" t="s">
        <v>230</v>
      </c>
      <c r="I106" s="36" t="s">
        <v>231</v>
      </c>
      <c r="J106" s="37"/>
      <c r="K106" s="37"/>
      <c r="L106" s="37"/>
    </row>
    <row r="107" spans="2:12" x14ac:dyDescent="0.25">
      <c r="B107" s="33">
        <v>46098</v>
      </c>
      <c r="C107" s="33"/>
      <c r="D107" s="33" t="s">
        <v>398</v>
      </c>
      <c r="E107" s="35" t="s">
        <v>408</v>
      </c>
      <c r="F107" s="33">
        <v>46098</v>
      </c>
      <c r="G107" s="33"/>
      <c r="H107" s="33" t="s">
        <v>230</v>
      </c>
      <c r="I107" s="34" t="s">
        <v>400</v>
      </c>
      <c r="J107" s="37"/>
      <c r="K107" s="37"/>
      <c r="L107" s="37"/>
    </row>
    <row r="108" spans="2:12" ht="30" x14ac:dyDescent="0.25">
      <c r="B108" s="33">
        <v>46098</v>
      </c>
      <c r="C108" s="33"/>
      <c r="D108" s="33" t="s">
        <v>398</v>
      </c>
      <c r="E108" s="35" t="s">
        <v>409</v>
      </c>
      <c r="F108" s="33">
        <v>46098</v>
      </c>
      <c r="G108" s="33" t="s">
        <v>230</v>
      </c>
      <c r="H108" s="33" t="s">
        <v>230</v>
      </c>
      <c r="I108" s="36" t="s">
        <v>231</v>
      </c>
      <c r="J108" s="37"/>
      <c r="K108" s="37"/>
      <c r="L108" s="37"/>
    </row>
    <row r="109" spans="2:12" ht="30" x14ac:dyDescent="0.25">
      <c r="B109" s="33">
        <v>46098</v>
      </c>
      <c r="C109" s="33"/>
      <c r="D109" s="33" t="s">
        <v>398</v>
      </c>
      <c r="E109" s="35" t="s">
        <v>410</v>
      </c>
      <c r="F109" s="33">
        <v>46098</v>
      </c>
      <c r="G109" s="33"/>
      <c r="H109" s="33" t="s">
        <v>230</v>
      </c>
      <c r="I109" s="36" t="s">
        <v>231</v>
      </c>
      <c r="J109" s="37"/>
      <c r="K109" s="37"/>
      <c r="L109" s="55"/>
    </row>
    <row r="110" spans="2:12" x14ac:dyDescent="0.25">
      <c r="B110" s="33">
        <v>46099</v>
      </c>
      <c r="C110" s="33"/>
      <c r="D110" s="33" t="s">
        <v>398</v>
      </c>
      <c r="E110" s="35" t="s">
        <v>411</v>
      </c>
      <c r="F110" s="33">
        <v>46104</v>
      </c>
      <c r="G110" s="33"/>
      <c r="H110" s="33" t="s">
        <v>230</v>
      </c>
      <c r="I110" s="34" t="s">
        <v>400</v>
      </c>
      <c r="J110" s="37"/>
      <c r="K110" s="37"/>
      <c r="L110" s="37"/>
    </row>
    <row r="111" spans="2:12" x14ac:dyDescent="0.25">
      <c r="B111" s="33">
        <v>46105</v>
      </c>
      <c r="C111" s="33"/>
      <c r="D111" s="33" t="s">
        <v>398</v>
      </c>
      <c r="E111" s="35" t="s">
        <v>412</v>
      </c>
      <c r="F111" s="33">
        <v>46104</v>
      </c>
      <c r="G111" s="33"/>
      <c r="H111" s="33">
        <v>46100</v>
      </c>
      <c r="I111" s="34" t="s">
        <v>400</v>
      </c>
      <c r="J111" s="37"/>
      <c r="K111" s="37"/>
      <c r="L111" s="37"/>
    </row>
    <row r="112" spans="2:12" x14ac:dyDescent="0.25">
      <c r="B112" s="33">
        <v>46101</v>
      </c>
      <c r="C112" s="33"/>
      <c r="D112" s="33" t="s">
        <v>398</v>
      </c>
      <c r="E112" s="35" t="s">
        <v>413</v>
      </c>
      <c r="F112" s="33">
        <v>46105</v>
      </c>
      <c r="G112" s="33"/>
      <c r="H112" s="33">
        <v>46105</v>
      </c>
      <c r="I112" s="34" t="s">
        <v>400</v>
      </c>
      <c r="J112" s="37"/>
      <c r="K112" s="37"/>
      <c r="L112" s="37"/>
    </row>
    <row r="113" spans="2:13" x14ac:dyDescent="0.25">
      <c r="B113" s="33">
        <v>46106</v>
      </c>
      <c r="C113" s="33"/>
      <c r="D113" s="33" t="s">
        <v>398</v>
      </c>
      <c r="E113" s="35" t="s">
        <v>414</v>
      </c>
      <c r="F113" s="33">
        <v>46105</v>
      </c>
      <c r="G113" s="33"/>
      <c r="H113" s="33">
        <v>46105</v>
      </c>
      <c r="I113" s="34" t="s">
        <v>400</v>
      </c>
      <c r="J113" s="37"/>
      <c r="K113" s="37"/>
      <c r="L113" s="37"/>
    </row>
    <row r="114" spans="2:13" x14ac:dyDescent="0.25">
      <c r="B114" s="33">
        <v>46106</v>
      </c>
      <c r="C114" s="34"/>
      <c r="D114" s="34" t="s">
        <v>398</v>
      </c>
      <c r="E114" s="35" t="s">
        <v>415</v>
      </c>
      <c r="F114" s="33">
        <v>46105</v>
      </c>
      <c r="G114" s="33"/>
      <c r="H114" s="33">
        <v>46105</v>
      </c>
      <c r="I114" s="34" t="s">
        <v>400</v>
      </c>
      <c r="J114" s="37"/>
      <c r="K114" s="37"/>
      <c r="L114" s="34"/>
      <c r="M114" s="60"/>
    </row>
    <row r="115" spans="2:13" x14ac:dyDescent="0.25">
      <c r="B115" s="33">
        <v>46107</v>
      </c>
      <c r="C115" s="34"/>
      <c r="D115" s="33" t="s">
        <v>398</v>
      </c>
      <c r="E115" s="35" t="s">
        <v>154</v>
      </c>
      <c r="F115" s="33">
        <v>46106</v>
      </c>
      <c r="G115" s="33"/>
      <c r="H115" s="33">
        <v>46106</v>
      </c>
      <c r="I115" s="34" t="s">
        <v>400</v>
      </c>
      <c r="J115" s="37"/>
      <c r="K115" s="37"/>
      <c r="L115" s="36"/>
    </row>
    <row r="116" spans="2:13" ht="45" x14ac:dyDescent="0.25">
      <c r="B116" s="33">
        <v>46107</v>
      </c>
      <c r="C116" s="34"/>
      <c r="D116" s="33" t="s">
        <v>398</v>
      </c>
      <c r="E116" s="35" t="s">
        <v>153</v>
      </c>
      <c r="F116" s="33">
        <v>46106</v>
      </c>
      <c r="G116" s="33"/>
      <c r="H116" s="33">
        <v>46106</v>
      </c>
      <c r="I116" s="34" t="s">
        <v>400</v>
      </c>
      <c r="J116" s="37"/>
      <c r="K116" s="55" t="s">
        <v>416</v>
      </c>
      <c r="L116" s="37"/>
    </row>
    <row r="117" spans="2:13" ht="90" x14ac:dyDescent="0.25">
      <c r="B117" s="33">
        <v>46094</v>
      </c>
      <c r="C117" s="33"/>
      <c r="D117" s="33" t="s">
        <v>398</v>
      </c>
      <c r="E117" s="35" t="s">
        <v>181</v>
      </c>
      <c r="F117" s="33">
        <v>46107</v>
      </c>
      <c r="G117" s="33"/>
      <c r="H117" s="33" t="s">
        <v>230</v>
      </c>
      <c r="I117" s="36" t="s">
        <v>400</v>
      </c>
      <c r="J117" s="37"/>
      <c r="K117" s="55" t="s">
        <v>417</v>
      </c>
      <c r="L117" s="37"/>
    </row>
    <row r="118" spans="2:13" x14ac:dyDescent="0.25">
      <c r="B118" s="33">
        <v>46101</v>
      </c>
      <c r="C118" s="33"/>
      <c r="D118" s="33" t="s">
        <v>398</v>
      </c>
      <c r="E118" s="35" t="s">
        <v>196</v>
      </c>
      <c r="F118" s="33">
        <v>46108</v>
      </c>
      <c r="G118" s="33"/>
      <c r="H118" s="33">
        <v>46108</v>
      </c>
      <c r="I118" s="34" t="s">
        <v>400</v>
      </c>
      <c r="J118" s="37"/>
      <c r="K118" s="37"/>
      <c r="L118" s="55"/>
    </row>
    <row r="119" spans="2:13" x14ac:dyDescent="0.25">
      <c r="B119" s="33">
        <v>46108</v>
      </c>
      <c r="C119" s="34"/>
      <c r="D119" s="34" t="s">
        <v>418</v>
      </c>
      <c r="E119" s="35" t="s">
        <v>197</v>
      </c>
      <c r="F119" s="33">
        <v>46108</v>
      </c>
      <c r="G119" s="33"/>
      <c r="H119" s="33">
        <v>46108</v>
      </c>
      <c r="I119" s="34" t="s">
        <v>400</v>
      </c>
      <c r="J119" s="37"/>
      <c r="K119" s="37"/>
      <c r="L119" s="37"/>
    </row>
    <row r="120" spans="2:13" x14ac:dyDescent="0.25">
      <c r="B120" s="33">
        <v>46092</v>
      </c>
      <c r="C120" s="33"/>
      <c r="D120" s="33" t="s">
        <v>398</v>
      </c>
      <c r="E120" s="61" t="s">
        <v>419</v>
      </c>
      <c r="F120" s="33" t="s">
        <v>271</v>
      </c>
      <c r="G120" s="33"/>
      <c r="H120" s="33" t="s">
        <v>230</v>
      </c>
      <c r="I120" s="34" t="s">
        <v>400</v>
      </c>
      <c r="J120" s="37"/>
      <c r="K120" s="37"/>
      <c r="L120" s="34"/>
    </row>
    <row r="121" spans="2:13" x14ac:dyDescent="0.25">
      <c r="B121" s="33">
        <v>46091</v>
      </c>
      <c r="C121" s="33"/>
      <c r="D121" s="33" t="s">
        <v>398</v>
      </c>
      <c r="E121" s="35" t="s">
        <v>420</v>
      </c>
      <c r="F121" s="33" t="s">
        <v>275</v>
      </c>
      <c r="G121" s="33"/>
      <c r="H121" s="33" t="s">
        <v>230</v>
      </c>
      <c r="I121" s="34" t="s">
        <v>400</v>
      </c>
      <c r="J121" s="37"/>
      <c r="K121" s="37"/>
      <c r="L121" s="37"/>
    </row>
    <row r="122" spans="2:13" x14ac:dyDescent="0.25">
      <c r="B122" s="33">
        <v>46094</v>
      </c>
      <c r="C122" s="33"/>
      <c r="D122" s="33" t="s">
        <v>398</v>
      </c>
      <c r="E122" s="35" t="s">
        <v>155</v>
      </c>
      <c r="F122" s="33" t="s">
        <v>275</v>
      </c>
      <c r="G122" s="33"/>
      <c r="H122" s="33">
        <v>46106</v>
      </c>
      <c r="I122" s="34" t="s">
        <v>400</v>
      </c>
      <c r="J122" s="37"/>
      <c r="K122" s="37"/>
      <c r="L122" s="37"/>
    </row>
    <row r="123" spans="2:13" x14ac:dyDescent="0.25">
      <c r="B123" s="33">
        <v>46094</v>
      </c>
      <c r="C123" s="33"/>
      <c r="D123" s="33" t="s">
        <v>398</v>
      </c>
      <c r="E123" s="35" t="s">
        <v>421</v>
      </c>
      <c r="F123" s="33" t="s">
        <v>275</v>
      </c>
      <c r="G123" s="33"/>
      <c r="H123" s="33" t="s">
        <v>230</v>
      </c>
      <c r="I123" s="34" t="s">
        <v>400</v>
      </c>
      <c r="J123" s="37"/>
      <c r="K123" s="37"/>
      <c r="L123" s="36"/>
    </row>
    <row r="124" spans="2:13" x14ac:dyDescent="0.25">
      <c r="B124" s="33">
        <v>46098</v>
      </c>
      <c r="C124" s="34"/>
      <c r="D124" s="33" t="s">
        <v>398</v>
      </c>
      <c r="E124" s="35" t="s">
        <v>422</v>
      </c>
      <c r="F124" s="33" t="s">
        <v>275</v>
      </c>
      <c r="G124" s="33"/>
      <c r="H124" s="33" t="s">
        <v>230</v>
      </c>
      <c r="I124" s="34" t="s">
        <v>400</v>
      </c>
      <c r="J124" s="37"/>
      <c r="K124" s="37"/>
      <c r="L124" s="37"/>
    </row>
    <row r="125" spans="2:13" ht="75" x14ac:dyDescent="0.25">
      <c r="B125" s="33">
        <v>46099</v>
      </c>
      <c r="C125" s="33"/>
      <c r="D125" s="33" t="s">
        <v>398</v>
      </c>
      <c r="E125" s="35" t="s">
        <v>423</v>
      </c>
      <c r="F125" s="33" t="s">
        <v>230</v>
      </c>
      <c r="G125" s="33"/>
      <c r="H125" s="33">
        <v>46100</v>
      </c>
      <c r="I125" s="34" t="s">
        <v>400</v>
      </c>
      <c r="J125" s="37"/>
      <c r="K125" s="55" t="s">
        <v>424</v>
      </c>
      <c r="L125" s="37"/>
    </row>
    <row r="126" spans="2:13" x14ac:dyDescent="0.25">
      <c r="B126" s="33">
        <v>46100</v>
      </c>
      <c r="C126" s="33"/>
      <c r="D126" s="33" t="s">
        <v>398</v>
      </c>
      <c r="E126" s="35" t="s">
        <v>425</v>
      </c>
      <c r="F126" s="33" t="s">
        <v>230</v>
      </c>
      <c r="G126" s="33"/>
      <c r="H126" s="33" t="s">
        <v>230</v>
      </c>
      <c r="I126" s="34" t="s">
        <v>400</v>
      </c>
      <c r="J126" s="37"/>
      <c r="K126" s="37"/>
      <c r="L126" s="37"/>
    </row>
    <row r="127" spans="2:13" x14ac:dyDescent="0.25">
      <c r="B127" s="33">
        <v>46104</v>
      </c>
      <c r="C127" s="33"/>
      <c r="D127" s="33" t="s">
        <v>398</v>
      </c>
      <c r="E127" s="35" t="s">
        <v>426</v>
      </c>
      <c r="F127" s="33" t="s">
        <v>230</v>
      </c>
      <c r="G127" s="33"/>
      <c r="H127" s="33" t="s">
        <v>230</v>
      </c>
      <c r="I127" s="34" t="s">
        <v>400</v>
      </c>
      <c r="J127" s="37"/>
      <c r="K127" s="37"/>
      <c r="L127" s="37"/>
    </row>
    <row r="128" spans="2:13" x14ac:dyDescent="0.25">
      <c r="B128" s="33">
        <v>46104</v>
      </c>
      <c r="C128" s="33"/>
      <c r="D128" s="33" t="s">
        <v>398</v>
      </c>
      <c r="E128" s="35" t="s">
        <v>427</v>
      </c>
      <c r="F128" s="33" t="s">
        <v>230</v>
      </c>
      <c r="G128" s="33"/>
      <c r="H128" s="33" t="s">
        <v>230</v>
      </c>
      <c r="I128" s="34" t="s">
        <v>400</v>
      </c>
      <c r="J128" s="37"/>
      <c r="K128" s="37"/>
      <c r="L128" s="34"/>
    </row>
    <row r="129" spans="2:12" ht="30" x14ac:dyDescent="0.25">
      <c r="B129" s="33">
        <v>46098</v>
      </c>
      <c r="C129" s="33"/>
      <c r="D129" s="33" t="s">
        <v>398</v>
      </c>
      <c r="E129" s="35" t="s">
        <v>428</v>
      </c>
      <c r="F129" s="33" t="s">
        <v>230</v>
      </c>
      <c r="G129" s="33"/>
      <c r="H129" s="33" t="s">
        <v>230</v>
      </c>
      <c r="I129" s="36" t="s">
        <v>231</v>
      </c>
      <c r="J129" s="37"/>
      <c r="K129" s="37"/>
      <c r="L129" s="37"/>
    </row>
    <row r="130" spans="2:12" x14ac:dyDescent="0.25">
      <c r="B130" s="33">
        <v>46100</v>
      </c>
      <c r="C130" s="33"/>
      <c r="D130" s="33" t="s">
        <v>398</v>
      </c>
      <c r="E130" s="35" t="s">
        <v>429</v>
      </c>
      <c r="F130" s="33" t="s">
        <v>230</v>
      </c>
      <c r="G130" s="33" t="s">
        <v>230</v>
      </c>
      <c r="H130" s="33" t="s">
        <v>230</v>
      </c>
      <c r="I130" s="34" t="s">
        <v>400</v>
      </c>
      <c r="J130" s="37"/>
      <c r="K130" s="37"/>
      <c r="L130" s="37"/>
    </row>
    <row r="131" spans="2:12" ht="30" x14ac:dyDescent="0.25">
      <c r="B131" s="33">
        <v>46097</v>
      </c>
      <c r="C131" s="33"/>
      <c r="D131" s="33" t="s">
        <v>398</v>
      </c>
      <c r="E131" s="35" t="s">
        <v>430</v>
      </c>
      <c r="F131" s="33" t="s">
        <v>230</v>
      </c>
      <c r="G131" s="33" t="s">
        <v>230</v>
      </c>
      <c r="H131" s="33" t="s">
        <v>230</v>
      </c>
      <c r="I131" s="36" t="s">
        <v>231</v>
      </c>
      <c r="J131" s="37"/>
      <c r="K131" s="37"/>
      <c r="L131" s="37"/>
    </row>
    <row r="132" spans="2:12" x14ac:dyDescent="0.25">
      <c r="B132" s="33">
        <v>46105</v>
      </c>
      <c r="C132" s="33"/>
      <c r="D132" s="33" t="s">
        <v>431</v>
      </c>
      <c r="E132" s="35" t="s">
        <v>432</v>
      </c>
      <c r="F132" s="33" t="s">
        <v>230</v>
      </c>
      <c r="G132" s="33"/>
      <c r="H132" s="33" t="s">
        <v>230</v>
      </c>
      <c r="I132" s="34" t="s">
        <v>400</v>
      </c>
      <c r="J132" s="37"/>
      <c r="K132" s="37"/>
      <c r="L132" s="37"/>
    </row>
    <row r="133" spans="2:12" ht="30" x14ac:dyDescent="0.25">
      <c r="B133" s="33">
        <v>46097</v>
      </c>
      <c r="C133" s="33"/>
      <c r="D133" s="33" t="s">
        <v>398</v>
      </c>
      <c r="E133" s="35" t="s">
        <v>433</v>
      </c>
      <c r="F133" s="33" t="s">
        <v>230</v>
      </c>
      <c r="G133" s="33"/>
      <c r="H133" s="33" t="s">
        <v>230</v>
      </c>
      <c r="I133" s="36" t="s">
        <v>231</v>
      </c>
      <c r="J133" s="37"/>
      <c r="K133" s="37"/>
      <c r="L133" s="37"/>
    </row>
    <row r="134" spans="2:12" x14ac:dyDescent="0.25">
      <c r="B134" s="33">
        <v>46108</v>
      </c>
      <c r="C134" s="34"/>
      <c r="D134" s="34" t="s">
        <v>398</v>
      </c>
      <c r="E134" s="35" t="s">
        <v>434</v>
      </c>
      <c r="F134" s="33" t="s">
        <v>230</v>
      </c>
      <c r="G134" s="33"/>
      <c r="H134" s="33" t="s">
        <v>230</v>
      </c>
      <c r="I134" s="34" t="s">
        <v>400</v>
      </c>
      <c r="J134" s="37"/>
      <c r="K134" s="37"/>
      <c r="L134" s="34"/>
    </row>
    <row r="135" spans="2:12" x14ac:dyDescent="0.25">
      <c r="B135" s="33">
        <v>46111</v>
      </c>
      <c r="C135" s="33"/>
      <c r="D135" s="34" t="s">
        <v>398</v>
      </c>
      <c r="E135" s="35" t="s">
        <v>435</v>
      </c>
      <c r="F135" s="33" t="s">
        <v>230</v>
      </c>
      <c r="G135" s="33"/>
      <c r="H135" s="33" t="s">
        <v>230</v>
      </c>
      <c r="I135" s="34" t="s">
        <v>400</v>
      </c>
      <c r="J135" s="37"/>
      <c r="K135" s="37"/>
      <c r="L135" s="26"/>
    </row>
    <row r="136" spans="2:12" ht="30" x14ac:dyDescent="0.25">
      <c r="B136" s="33">
        <v>46101</v>
      </c>
      <c r="C136" s="34"/>
      <c r="D136" s="34" t="s">
        <v>398</v>
      </c>
      <c r="E136" s="35" t="s">
        <v>436</v>
      </c>
      <c r="F136" s="33" t="s">
        <v>230</v>
      </c>
      <c r="G136" s="33"/>
      <c r="H136" s="33" t="s">
        <v>230</v>
      </c>
      <c r="I136" s="36" t="s">
        <v>231</v>
      </c>
      <c r="J136" s="37"/>
      <c r="K136" s="37"/>
      <c r="L136" s="26"/>
    </row>
    <row r="137" spans="2:12" x14ac:dyDescent="0.25">
      <c r="B137" s="33">
        <v>46097</v>
      </c>
      <c r="C137" s="33"/>
      <c r="D137" s="33" t="s">
        <v>437</v>
      </c>
      <c r="E137" s="35" t="s">
        <v>438</v>
      </c>
      <c r="F137" s="33" t="s">
        <v>230</v>
      </c>
      <c r="G137" s="33"/>
      <c r="H137" s="33" t="s">
        <v>230</v>
      </c>
      <c r="I137" s="34" t="s">
        <v>400</v>
      </c>
      <c r="J137" s="37"/>
      <c r="K137" s="37"/>
      <c r="L137" s="26"/>
    </row>
    <row r="138" spans="2:12" x14ac:dyDescent="0.25">
      <c r="B138" s="33">
        <v>46106</v>
      </c>
      <c r="C138" s="34"/>
      <c r="D138" s="34" t="s">
        <v>439</v>
      </c>
      <c r="E138" s="25" t="s">
        <v>440</v>
      </c>
      <c r="F138" s="33" t="s">
        <v>230</v>
      </c>
      <c r="G138" s="33"/>
      <c r="H138" s="33" t="s">
        <v>230</v>
      </c>
      <c r="I138" s="36" t="s">
        <v>245</v>
      </c>
      <c r="J138" s="34"/>
      <c r="K138" s="34"/>
      <c r="L138" s="26"/>
    </row>
    <row r="139" spans="2:12" ht="30" x14ac:dyDescent="0.25">
      <c r="B139" s="33">
        <v>46094</v>
      </c>
      <c r="C139" s="33"/>
      <c r="D139" s="33" t="s">
        <v>441</v>
      </c>
      <c r="E139" s="35" t="s">
        <v>442</v>
      </c>
      <c r="F139" s="33">
        <v>46094</v>
      </c>
      <c r="G139" s="33"/>
      <c r="H139" s="33" t="s">
        <v>271</v>
      </c>
      <c r="I139" s="36" t="s">
        <v>386</v>
      </c>
      <c r="J139" s="34"/>
      <c r="K139" s="34"/>
      <c r="L139" s="26"/>
    </row>
    <row r="140" spans="2:12" ht="30" x14ac:dyDescent="0.25">
      <c r="B140" s="33">
        <v>46097</v>
      </c>
      <c r="C140" s="33"/>
      <c r="D140" s="33" t="s">
        <v>443</v>
      </c>
      <c r="E140" s="35" t="s">
        <v>444</v>
      </c>
      <c r="F140" s="33">
        <v>46097</v>
      </c>
      <c r="G140" s="33">
        <v>46097</v>
      </c>
      <c r="H140" s="33">
        <v>46097</v>
      </c>
      <c r="I140" s="36" t="s">
        <v>386</v>
      </c>
      <c r="J140" s="34"/>
      <c r="K140" s="34"/>
      <c r="L140" s="26"/>
    </row>
    <row r="141" spans="2:12" ht="30" x14ac:dyDescent="0.25">
      <c r="B141" s="33">
        <v>46098</v>
      </c>
      <c r="C141" s="33"/>
      <c r="D141" s="33" t="s">
        <v>445</v>
      </c>
      <c r="E141" s="35" t="s">
        <v>446</v>
      </c>
      <c r="F141" s="33">
        <v>46098</v>
      </c>
      <c r="G141" s="33">
        <v>46098</v>
      </c>
      <c r="H141" s="33">
        <v>46098</v>
      </c>
      <c r="I141" s="36" t="s">
        <v>386</v>
      </c>
      <c r="J141" s="34"/>
      <c r="K141" s="34"/>
      <c r="L141" s="26"/>
    </row>
    <row r="142" spans="2:12" x14ac:dyDescent="0.25">
      <c r="B142" s="33">
        <v>46092</v>
      </c>
      <c r="C142" s="33">
        <v>46106</v>
      </c>
      <c r="D142" s="33" t="s">
        <v>447</v>
      </c>
      <c r="E142" s="35" t="s">
        <v>159</v>
      </c>
      <c r="F142" s="33" t="s">
        <v>230</v>
      </c>
      <c r="G142" s="33"/>
      <c r="H142" s="33" t="s">
        <v>230</v>
      </c>
      <c r="I142" s="36" t="s">
        <v>172</v>
      </c>
      <c r="J142" s="37"/>
      <c r="K142" s="37"/>
      <c r="L142" s="26"/>
    </row>
    <row r="143" spans="2:12" ht="30" x14ac:dyDescent="0.25">
      <c r="B143" s="33">
        <v>46107</v>
      </c>
      <c r="C143" s="33"/>
      <c r="D143" s="33" t="s">
        <v>448</v>
      </c>
      <c r="E143" s="35" t="s">
        <v>449</v>
      </c>
      <c r="F143" s="33" t="s">
        <v>230</v>
      </c>
      <c r="G143" s="33" t="s">
        <v>230</v>
      </c>
      <c r="H143" s="33" t="s">
        <v>230</v>
      </c>
      <c r="I143" s="36" t="s">
        <v>231</v>
      </c>
      <c r="J143" s="37"/>
      <c r="K143" s="37"/>
      <c r="L143" s="26"/>
    </row>
    <row r="144" spans="2:12" ht="30" x14ac:dyDescent="0.25">
      <c r="B144" s="33">
        <v>46107</v>
      </c>
      <c r="C144" s="33"/>
      <c r="D144" s="33" t="s">
        <v>448</v>
      </c>
      <c r="E144" s="35" t="s">
        <v>450</v>
      </c>
      <c r="F144" s="33" t="s">
        <v>230</v>
      </c>
      <c r="G144" s="33"/>
      <c r="H144" s="33" t="s">
        <v>230</v>
      </c>
      <c r="I144" s="36" t="s">
        <v>231</v>
      </c>
      <c r="J144" s="37"/>
      <c r="K144" s="37"/>
      <c r="L144" s="26"/>
    </row>
    <row r="145" spans="2:15" x14ac:dyDescent="0.25">
      <c r="B145" s="33">
        <v>46105</v>
      </c>
      <c r="C145" s="33"/>
      <c r="D145" s="33" t="s">
        <v>451</v>
      </c>
      <c r="E145" s="25" t="s">
        <v>452</v>
      </c>
      <c r="F145" s="33">
        <v>46100</v>
      </c>
      <c r="G145" s="33"/>
      <c r="H145" s="33" t="s">
        <v>230</v>
      </c>
      <c r="I145" s="54" t="s">
        <v>368</v>
      </c>
      <c r="J145" s="34"/>
      <c r="K145" s="34"/>
      <c r="L145" s="26"/>
    </row>
    <row r="146" spans="2:15" ht="30" x14ac:dyDescent="0.25">
      <c r="B146" s="33">
        <v>46100</v>
      </c>
      <c r="C146" s="34"/>
      <c r="D146" s="34" t="s">
        <v>453</v>
      </c>
      <c r="E146" s="35" t="s">
        <v>454</v>
      </c>
      <c r="F146" s="33" t="s">
        <v>230</v>
      </c>
      <c r="G146" s="33"/>
      <c r="H146" s="33" t="s">
        <v>230</v>
      </c>
      <c r="I146" s="36" t="s">
        <v>231</v>
      </c>
      <c r="J146" s="37"/>
      <c r="K146" s="37"/>
      <c r="L146" s="26"/>
    </row>
    <row r="147" spans="2:15" x14ac:dyDescent="0.25">
      <c r="B147" s="33">
        <v>46108</v>
      </c>
      <c r="C147" s="34"/>
      <c r="D147" s="34" t="s">
        <v>455</v>
      </c>
      <c r="E147" s="25" t="s">
        <v>456</v>
      </c>
      <c r="F147" s="33" t="s">
        <v>230</v>
      </c>
      <c r="G147" s="33"/>
      <c r="H147" s="33" t="s">
        <v>230</v>
      </c>
      <c r="I147" s="36"/>
      <c r="J147" s="34"/>
      <c r="K147" s="34"/>
      <c r="L147" s="26"/>
    </row>
    <row r="148" spans="2:15" x14ac:dyDescent="0.25">
      <c r="B148" s="33">
        <v>46094</v>
      </c>
      <c r="C148" s="34"/>
      <c r="D148" s="34" t="s">
        <v>457</v>
      </c>
      <c r="E148" s="25" t="s">
        <v>458</v>
      </c>
      <c r="F148" s="33" t="s">
        <v>230</v>
      </c>
      <c r="G148" s="33"/>
      <c r="H148" s="33" t="s">
        <v>230</v>
      </c>
      <c r="I148" s="36" t="s">
        <v>240</v>
      </c>
      <c r="J148" s="34"/>
      <c r="K148" s="34"/>
      <c r="L148" s="26"/>
    </row>
    <row r="149" spans="2:15" ht="15.75" thickBot="1" x14ac:dyDescent="0.3">
      <c r="I149" s="64"/>
      <c r="K149" s="66"/>
      <c r="L149" s="66"/>
    </row>
    <row r="153" spans="2:15" x14ac:dyDescent="0.25">
      <c r="O153" s="67"/>
    </row>
    <row r="154" spans="2:15" ht="45" x14ac:dyDescent="0.25">
      <c r="G154"/>
      <c r="H154"/>
      <c r="I154"/>
      <c r="J154"/>
      <c r="K154"/>
      <c r="L154"/>
      <c r="O154" s="67" t="s">
        <v>231</v>
      </c>
    </row>
    <row r="155" spans="2:15" x14ac:dyDescent="0.25">
      <c r="G155"/>
      <c r="H155"/>
      <c r="I155"/>
      <c r="J155"/>
      <c r="K155"/>
      <c r="L155"/>
    </row>
    <row r="156" spans="2:15" x14ac:dyDescent="0.25">
      <c r="G156"/>
      <c r="H156"/>
      <c r="I156"/>
      <c r="J156"/>
      <c r="K156"/>
      <c r="L156"/>
    </row>
    <row r="157" spans="2:15" x14ac:dyDescent="0.25">
      <c r="G157"/>
      <c r="H157"/>
      <c r="I157"/>
      <c r="J157"/>
      <c r="K157"/>
      <c r="L157"/>
    </row>
    <row r="158" spans="2:15" x14ac:dyDescent="0.25">
      <c r="G158"/>
      <c r="H158"/>
      <c r="I158"/>
      <c r="J158"/>
      <c r="K158"/>
      <c r="L158"/>
    </row>
    <row r="159" spans="2:15" x14ac:dyDescent="0.25">
      <c r="G159"/>
      <c r="H159"/>
      <c r="I159"/>
      <c r="J159"/>
      <c r="K159"/>
      <c r="L159"/>
    </row>
    <row r="160" spans="2:15" x14ac:dyDescent="0.25">
      <c r="G160"/>
      <c r="H160"/>
      <c r="I160"/>
      <c r="J160"/>
      <c r="K160"/>
      <c r="L160"/>
    </row>
  </sheetData>
  <mergeCells count="1">
    <mergeCell ref="N2:O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12F03-3EF7-4347-B513-4C73D6890A08}">
  <dimension ref="A1"/>
  <sheetViews>
    <sheetView workbookViewId="0">
      <selection activeCell="B10" sqref="B10"/>
    </sheetView>
  </sheetViews>
  <sheetFormatPr baseColWidth="10"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BA87-665F-4F01-BBF3-52C633CF6995}">
  <dimension ref="A1"/>
  <sheetViews>
    <sheetView workbookViewId="0"/>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3B38-34FA-44D0-998D-00FAF3E013C6}">
  <dimension ref="A1:N289"/>
  <sheetViews>
    <sheetView topLeftCell="A8" workbookViewId="0">
      <selection activeCell="D11" sqref="D11"/>
    </sheetView>
  </sheetViews>
  <sheetFormatPr baseColWidth="10" defaultRowHeight="15" x14ac:dyDescent="0.25"/>
  <cols>
    <col min="1" max="1" width="5.7109375" bestFit="1" customWidth="1"/>
    <col min="2" max="2" width="9.140625" bestFit="1" customWidth="1"/>
    <col min="3" max="3" width="54.7109375" bestFit="1" customWidth="1"/>
    <col min="6" max="6" width="4" bestFit="1" customWidth="1"/>
    <col min="8" max="8" width="4" bestFit="1" customWidth="1"/>
    <col min="10" max="10" width="4" bestFit="1" customWidth="1"/>
    <col min="12" max="12" width="4" bestFit="1" customWidth="1"/>
    <col min="14" max="14" width="42.7109375" customWidth="1"/>
  </cols>
  <sheetData>
    <row r="1" spans="1:14" x14ac:dyDescent="0.25">
      <c r="A1" s="131" t="s">
        <v>164</v>
      </c>
      <c r="B1" s="132"/>
      <c r="C1" s="135" t="s">
        <v>459</v>
      </c>
      <c r="D1" s="136"/>
      <c r="E1" s="136"/>
      <c r="F1" s="136"/>
      <c r="G1" s="136"/>
      <c r="H1" s="136"/>
      <c r="I1" s="136"/>
      <c r="J1" s="136"/>
      <c r="K1" s="136"/>
      <c r="L1" s="136"/>
      <c r="M1" s="136"/>
      <c r="N1" s="136"/>
    </row>
    <row r="2" spans="1:14" x14ac:dyDescent="0.25">
      <c r="A2" s="133"/>
      <c r="B2" s="134"/>
      <c r="C2" s="137"/>
      <c r="D2" s="138"/>
      <c r="E2" s="138"/>
      <c r="F2" s="138"/>
      <c r="G2" s="138"/>
      <c r="H2" s="138"/>
      <c r="I2" s="138"/>
      <c r="J2" s="138"/>
      <c r="K2" s="138"/>
      <c r="L2" s="138"/>
      <c r="M2" s="138"/>
      <c r="N2" s="138"/>
    </row>
    <row r="3" spans="1:14" ht="45" x14ac:dyDescent="0.25">
      <c r="A3" s="68" t="s">
        <v>460</v>
      </c>
      <c r="B3" s="68" t="s">
        <v>461</v>
      </c>
      <c r="C3" s="68" t="s">
        <v>140</v>
      </c>
      <c r="D3" s="68" t="s">
        <v>462</v>
      </c>
      <c r="E3" s="68" t="s">
        <v>463</v>
      </c>
      <c r="F3" s="68" t="s">
        <v>464</v>
      </c>
      <c r="G3" s="68" t="s">
        <v>465</v>
      </c>
      <c r="H3" s="68" t="s">
        <v>464</v>
      </c>
      <c r="I3" s="68" t="s">
        <v>466</v>
      </c>
      <c r="J3" s="68" t="s">
        <v>464</v>
      </c>
      <c r="K3" s="68" t="s">
        <v>467</v>
      </c>
      <c r="L3" s="68" t="s">
        <v>464</v>
      </c>
      <c r="M3" s="68" t="s">
        <v>468</v>
      </c>
      <c r="N3" s="68" t="s">
        <v>469</v>
      </c>
    </row>
    <row r="4" spans="1:14" x14ac:dyDescent="0.25">
      <c r="A4" s="4">
        <v>1</v>
      </c>
      <c r="B4" s="4" t="s">
        <v>470</v>
      </c>
      <c r="C4" s="4" t="s">
        <v>471</v>
      </c>
      <c r="D4" s="4" t="s">
        <v>286</v>
      </c>
      <c r="E4" s="69">
        <v>44986</v>
      </c>
      <c r="F4" s="4"/>
      <c r="G4" s="69">
        <v>45635</v>
      </c>
      <c r="H4" s="4"/>
      <c r="I4" s="69">
        <v>45845</v>
      </c>
      <c r="J4" s="4"/>
      <c r="K4" s="69">
        <v>46210</v>
      </c>
      <c r="L4" s="4"/>
      <c r="M4" s="4"/>
      <c r="N4" s="4"/>
    </row>
    <row r="5" spans="1:14" x14ac:dyDescent="0.25">
      <c r="A5" s="4">
        <v>2</v>
      </c>
      <c r="B5" s="4" t="s">
        <v>140</v>
      </c>
      <c r="C5" s="4" t="s">
        <v>472</v>
      </c>
      <c r="D5" s="4" t="s">
        <v>286</v>
      </c>
      <c r="E5" s="69">
        <v>44998</v>
      </c>
      <c r="F5" s="4"/>
      <c r="G5" s="69">
        <v>45364</v>
      </c>
      <c r="H5" s="4"/>
      <c r="I5" s="69">
        <v>45799</v>
      </c>
      <c r="J5" s="4"/>
      <c r="K5" s="69">
        <v>46164</v>
      </c>
      <c r="L5" s="4"/>
      <c r="M5" s="4"/>
      <c r="N5" s="4"/>
    </row>
    <row r="6" spans="1:14" x14ac:dyDescent="0.25">
      <c r="A6" s="4">
        <v>3</v>
      </c>
      <c r="B6" s="4" t="s">
        <v>140</v>
      </c>
      <c r="C6" s="4" t="s">
        <v>325</v>
      </c>
      <c r="D6" s="4" t="s">
        <v>286</v>
      </c>
      <c r="E6" s="69">
        <v>44998</v>
      </c>
      <c r="F6" s="4"/>
      <c r="G6" s="69">
        <v>45364</v>
      </c>
      <c r="H6" s="4"/>
      <c r="I6" s="69">
        <v>45796</v>
      </c>
      <c r="J6" s="4"/>
      <c r="K6" s="69">
        <v>46161</v>
      </c>
      <c r="L6" s="4"/>
      <c r="M6" s="4"/>
      <c r="N6" s="4"/>
    </row>
    <row r="7" spans="1:14" x14ac:dyDescent="0.25">
      <c r="A7" s="4">
        <v>4</v>
      </c>
      <c r="B7" s="4" t="s">
        <v>140</v>
      </c>
      <c r="C7" s="4" t="s">
        <v>323</v>
      </c>
      <c r="D7" s="4" t="s">
        <v>286</v>
      </c>
      <c r="E7" s="69">
        <v>44998</v>
      </c>
      <c r="F7" s="4"/>
      <c r="G7" s="69">
        <v>45364</v>
      </c>
      <c r="H7" s="4"/>
      <c r="I7" s="69">
        <v>45798</v>
      </c>
      <c r="J7" s="4"/>
      <c r="K7" s="69">
        <v>46163</v>
      </c>
      <c r="L7" s="4"/>
      <c r="M7" s="4"/>
      <c r="N7" s="4"/>
    </row>
    <row r="8" spans="1:14" x14ac:dyDescent="0.25">
      <c r="A8" s="4">
        <v>5</v>
      </c>
      <c r="B8" s="4" t="s">
        <v>140</v>
      </c>
      <c r="C8" s="4" t="s">
        <v>473</v>
      </c>
      <c r="D8" s="4" t="s">
        <v>286</v>
      </c>
      <c r="E8" s="69">
        <v>44998</v>
      </c>
      <c r="F8" s="4"/>
      <c r="G8" s="69">
        <v>45364</v>
      </c>
      <c r="H8" s="4"/>
      <c r="I8" s="69">
        <v>45926</v>
      </c>
      <c r="J8" s="4"/>
      <c r="K8" s="69">
        <v>46291</v>
      </c>
      <c r="L8" s="4"/>
      <c r="M8" s="4"/>
      <c r="N8" s="4"/>
    </row>
    <row r="9" spans="1:14" x14ac:dyDescent="0.25">
      <c r="A9" s="4">
        <v>6</v>
      </c>
      <c r="B9" s="4" t="s">
        <v>140</v>
      </c>
      <c r="C9" s="4" t="s">
        <v>330</v>
      </c>
      <c r="D9" s="4" t="s">
        <v>286</v>
      </c>
      <c r="E9" s="69">
        <v>44998</v>
      </c>
      <c r="F9" s="4"/>
      <c r="G9" s="69">
        <v>45364</v>
      </c>
      <c r="H9" s="4"/>
      <c r="I9" s="69">
        <v>45798</v>
      </c>
      <c r="J9" s="4"/>
      <c r="K9" s="69">
        <v>46163</v>
      </c>
      <c r="L9" s="4"/>
      <c r="M9" s="4"/>
      <c r="N9" s="4"/>
    </row>
    <row r="10" spans="1:14" x14ac:dyDescent="0.25">
      <c r="A10" s="4">
        <v>7</v>
      </c>
      <c r="B10" s="4" t="s">
        <v>140</v>
      </c>
      <c r="C10" s="4" t="s">
        <v>321</v>
      </c>
      <c r="D10" s="4" t="s">
        <v>286</v>
      </c>
      <c r="E10" s="69">
        <v>44998</v>
      </c>
      <c r="F10" s="4"/>
      <c r="G10" s="69">
        <v>45364</v>
      </c>
      <c r="H10" s="4"/>
      <c r="I10" s="69">
        <v>45804</v>
      </c>
      <c r="J10" s="4"/>
      <c r="K10" s="69">
        <v>46169</v>
      </c>
      <c r="L10" s="4"/>
      <c r="M10" s="4"/>
      <c r="N10" s="4"/>
    </row>
    <row r="11" spans="1:14" x14ac:dyDescent="0.25">
      <c r="A11" s="4">
        <v>8</v>
      </c>
      <c r="B11" s="4" t="s">
        <v>474</v>
      </c>
      <c r="C11" s="4" t="s">
        <v>328</v>
      </c>
      <c r="D11" s="4" t="s">
        <v>286</v>
      </c>
      <c r="E11" s="69">
        <v>44998</v>
      </c>
      <c r="F11" s="4"/>
      <c r="G11" s="69">
        <v>45364</v>
      </c>
      <c r="H11" s="4"/>
      <c r="I11" s="69">
        <v>45803</v>
      </c>
      <c r="J11" s="4"/>
      <c r="K11" s="69">
        <v>46168</v>
      </c>
      <c r="L11" s="4"/>
      <c r="M11" s="4"/>
      <c r="N11" s="4"/>
    </row>
    <row r="12" spans="1:14" x14ac:dyDescent="0.25">
      <c r="A12" s="4">
        <v>9</v>
      </c>
      <c r="B12" s="4" t="s">
        <v>140</v>
      </c>
      <c r="C12" s="4" t="s">
        <v>475</v>
      </c>
      <c r="D12" s="4" t="s">
        <v>286</v>
      </c>
      <c r="E12" s="69">
        <v>44998</v>
      </c>
      <c r="F12" s="4"/>
      <c r="G12" s="69">
        <v>45364</v>
      </c>
      <c r="H12" s="4"/>
      <c r="I12" s="69">
        <v>45960</v>
      </c>
      <c r="J12" s="4"/>
      <c r="K12" s="69">
        <v>46325</v>
      </c>
      <c r="L12" s="4"/>
      <c r="M12" s="4"/>
      <c r="N12" s="4"/>
    </row>
    <row r="13" spans="1:14" x14ac:dyDescent="0.25">
      <c r="A13" s="4">
        <v>10</v>
      </c>
      <c r="B13" s="4" t="s">
        <v>140</v>
      </c>
      <c r="C13" s="4" t="s">
        <v>476</v>
      </c>
      <c r="D13" s="4" t="s">
        <v>267</v>
      </c>
      <c r="E13" s="69">
        <v>44998</v>
      </c>
      <c r="F13" s="4"/>
      <c r="G13" s="69">
        <v>45364</v>
      </c>
      <c r="H13" s="4"/>
      <c r="I13" s="69">
        <v>45876</v>
      </c>
      <c r="J13" s="4"/>
      <c r="K13" s="69">
        <v>46241</v>
      </c>
      <c r="L13" s="4"/>
      <c r="M13" s="4"/>
      <c r="N13" s="4"/>
    </row>
    <row r="14" spans="1:14" x14ac:dyDescent="0.25">
      <c r="A14" s="4">
        <v>11</v>
      </c>
      <c r="B14" s="4" t="s">
        <v>140</v>
      </c>
      <c r="C14" s="4" t="s">
        <v>151</v>
      </c>
      <c r="D14" s="4" t="s">
        <v>477</v>
      </c>
      <c r="E14" s="69">
        <v>44998</v>
      </c>
      <c r="F14" s="4"/>
      <c r="G14" s="69">
        <v>45364</v>
      </c>
      <c r="H14" s="4"/>
      <c r="I14" s="69">
        <v>45911</v>
      </c>
      <c r="J14" s="4"/>
      <c r="K14" s="70">
        <v>46276</v>
      </c>
      <c r="L14" s="71"/>
      <c r="M14" s="71"/>
      <c r="N14" s="4"/>
    </row>
    <row r="15" spans="1:14" x14ac:dyDescent="0.25">
      <c r="A15" s="4">
        <v>12</v>
      </c>
      <c r="B15" s="4" t="s">
        <v>140</v>
      </c>
      <c r="C15" s="4" t="s">
        <v>160</v>
      </c>
      <c r="D15" s="4" t="s">
        <v>478</v>
      </c>
      <c r="E15" s="69">
        <v>44998</v>
      </c>
      <c r="F15" s="4"/>
      <c r="G15" s="69">
        <v>45364</v>
      </c>
      <c r="H15" s="4"/>
      <c r="I15" s="69">
        <v>45862</v>
      </c>
      <c r="J15" s="4"/>
      <c r="K15" s="70">
        <v>46227</v>
      </c>
      <c r="L15" s="71"/>
      <c r="M15" s="71"/>
      <c r="N15" s="4"/>
    </row>
    <row r="16" spans="1:14" x14ac:dyDescent="0.25">
      <c r="A16" s="4">
        <v>13</v>
      </c>
      <c r="B16" s="4" t="s">
        <v>140</v>
      </c>
      <c r="C16" s="4" t="s">
        <v>263</v>
      </c>
      <c r="D16" s="4" t="s">
        <v>257</v>
      </c>
      <c r="E16" s="69">
        <v>44998</v>
      </c>
      <c r="F16" s="4"/>
      <c r="G16" s="69">
        <v>45364</v>
      </c>
      <c r="H16" s="4"/>
      <c r="I16" s="69">
        <v>45860</v>
      </c>
      <c r="J16" s="4"/>
      <c r="K16" s="70">
        <v>46225</v>
      </c>
      <c r="L16" s="71"/>
      <c r="M16" s="71"/>
      <c r="N16" s="4"/>
    </row>
    <row r="17" spans="1:14" x14ac:dyDescent="0.25">
      <c r="A17" s="4">
        <v>14</v>
      </c>
      <c r="B17" s="4" t="s">
        <v>140</v>
      </c>
      <c r="C17" s="4" t="s">
        <v>150</v>
      </c>
      <c r="D17" s="4" t="s">
        <v>479</v>
      </c>
      <c r="E17" s="69">
        <v>44998</v>
      </c>
      <c r="F17" s="4"/>
      <c r="G17" s="69">
        <v>45364</v>
      </c>
      <c r="H17" s="4"/>
      <c r="I17" s="69">
        <v>45933</v>
      </c>
      <c r="J17" s="4"/>
      <c r="K17" s="70">
        <v>46298</v>
      </c>
      <c r="L17" s="71"/>
      <c r="M17" s="71"/>
      <c r="N17" s="4"/>
    </row>
    <row r="18" spans="1:14" x14ac:dyDescent="0.25">
      <c r="A18" s="4">
        <v>15</v>
      </c>
      <c r="B18" s="4" t="s">
        <v>140</v>
      </c>
      <c r="C18" s="4" t="s">
        <v>480</v>
      </c>
      <c r="D18" s="4" t="s">
        <v>286</v>
      </c>
      <c r="E18" s="69">
        <v>44998</v>
      </c>
      <c r="F18" s="4"/>
      <c r="G18" s="69">
        <v>45364</v>
      </c>
      <c r="H18" s="4"/>
      <c r="I18" s="69">
        <v>45860</v>
      </c>
      <c r="J18" s="4"/>
      <c r="K18" s="69">
        <v>46225</v>
      </c>
      <c r="L18" s="4"/>
      <c r="M18" s="4"/>
      <c r="N18" s="4"/>
    </row>
    <row r="19" spans="1:14" x14ac:dyDescent="0.25">
      <c r="A19" s="4">
        <v>16</v>
      </c>
      <c r="B19" s="71" t="s">
        <v>140</v>
      </c>
      <c r="C19" s="71" t="s">
        <v>97</v>
      </c>
      <c r="D19" s="71" t="s">
        <v>286</v>
      </c>
      <c r="E19" s="70">
        <v>44998</v>
      </c>
      <c r="F19" s="71"/>
      <c r="G19" s="70">
        <v>45364</v>
      </c>
      <c r="H19" s="71"/>
      <c r="I19" s="70">
        <v>45813</v>
      </c>
      <c r="J19" s="71"/>
      <c r="K19" s="70">
        <v>46178</v>
      </c>
      <c r="L19" s="71"/>
      <c r="M19" s="71"/>
      <c r="N19" s="4"/>
    </row>
    <row r="20" spans="1:14" x14ac:dyDescent="0.25">
      <c r="A20" s="4">
        <v>17</v>
      </c>
      <c r="B20" s="71" t="s">
        <v>140</v>
      </c>
      <c r="C20" s="71" t="s">
        <v>371</v>
      </c>
      <c r="D20" s="71" t="s">
        <v>481</v>
      </c>
      <c r="E20" s="70">
        <v>44998</v>
      </c>
      <c r="F20" s="71"/>
      <c r="G20" s="70">
        <v>45639</v>
      </c>
      <c r="H20" s="71"/>
      <c r="I20" s="70">
        <v>46006</v>
      </c>
      <c r="J20" s="71"/>
      <c r="K20" s="69">
        <v>46371</v>
      </c>
      <c r="L20" s="4"/>
      <c r="M20" s="4"/>
      <c r="N20" s="4"/>
    </row>
    <row r="21" spans="1:14" x14ac:dyDescent="0.25">
      <c r="A21" s="4">
        <v>18</v>
      </c>
      <c r="B21" s="71" t="s">
        <v>140</v>
      </c>
      <c r="C21" s="71" t="s">
        <v>155</v>
      </c>
      <c r="D21" s="71" t="s">
        <v>398</v>
      </c>
      <c r="E21" s="70">
        <v>44998</v>
      </c>
      <c r="F21" s="71"/>
      <c r="G21" s="70">
        <v>45364</v>
      </c>
      <c r="H21" s="71"/>
      <c r="I21" s="70">
        <v>45905</v>
      </c>
      <c r="J21" s="71"/>
      <c r="K21" s="69">
        <v>46270</v>
      </c>
      <c r="L21" s="4"/>
      <c r="M21" s="4"/>
      <c r="N21" s="4"/>
    </row>
    <row r="22" spans="1:14" ht="30" x14ac:dyDescent="0.25">
      <c r="A22" s="4">
        <v>19</v>
      </c>
      <c r="B22" s="72" t="s">
        <v>140</v>
      </c>
      <c r="C22" s="72" t="s">
        <v>402</v>
      </c>
      <c r="D22" s="72" t="s">
        <v>398</v>
      </c>
      <c r="E22" s="73">
        <v>44998</v>
      </c>
      <c r="F22" s="72"/>
      <c r="G22" s="73">
        <v>45364</v>
      </c>
      <c r="H22" s="72"/>
      <c r="I22" s="73">
        <v>45674</v>
      </c>
      <c r="J22" s="72"/>
      <c r="K22" s="74">
        <v>46048</v>
      </c>
      <c r="L22" s="37"/>
      <c r="M22" s="75">
        <v>46066</v>
      </c>
      <c r="N22" s="76" t="s">
        <v>482</v>
      </c>
    </row>
    <row r="23" spans="1:14" ht="30" x14ac:dyDescent="0.25">
      <c r="A23" s="4">
        <v>20</v>
      </c>
      <c r="B23" s="72" t="s">
        <v>140</v>
      </c>
      <c r="C23" s="72" t="s">
        <v>404</v>
      </c>
      <c r="D23" s="72" t="s">
        <v>398</v>
      </c>
      <c r="E23" s="73">
        <v>44998</v>
      </c>
      <c r="F23" s="72"/>
      <c r="G23" s="73">
        <v>45364</v>
      </c>
      <c r="H23" s="72"/>
      <c r="I23" s="73">
        <v>45677</v>
      </c>
      <c r="J23" s="72"/>
      <c r="K23" s="74">
        <v>46051</v>
      </c>
      <c r="L23" s="37"/>
      <c r="M23" s="75">
        <v>46066</v>
      </c>
      <c r="N23" s="76" t="s">
        <v>483</v>
      </c>
    </row>
    <row r="24" spans="1:14" x14ac:dyDescent="0.25">
      <c r="A24" s="4">
        <v>21</v>
      </c>
      <c r="B24" s="72" t="s">
        <v>140</v>
      </c>
      <c r="C24" s="72" t="s">
        <v>399</v>
      </c>
      <c r="D24" s="72" t="s">
        <v>398</v>
      </c>
      <c r="E24" s="73">
        <v>44998</v>
      </c>
      <c r="F24" s="72"/>
      <c r="G24" s="73">
        <v>45364</v>
      </c>
      <c r="H24" s="72"/>
      <c r="I24" s="73">
        <v>45670</v>
      </c>
      <c r="J24" s="72"/>
      <c r="K24" s="74">
        <v>46066</v>
      </c>
      <c r="L24" s="37"/>
      <c r="M24" s="75">
        <v>46071</v>
      </c>
      <c r="N24" s="76" t="s">
        <v>484</v>
      </c>
    </row>
    <row r="25" spans="1:14" ht="75" x14ac:dyDescent="0.25">
      <c r="A25" s="4">
        <v>22</v>
      </c>
      <c r="B25" s="72" t="s">
        <v>140</v>
      </c>
      <c r="C25" s="72" t="s">
        <v>408</v>
      </c>
      <c r="D25" s="72" t="s">
        <v>398</v>
      </c>
      <c r="E25" s="73">
        <v>44998</v>
      </c>
      <c r="F25" s="72"/>
      <c r="G25" s="73">
        <v>45364</v>
      </c>
      <c r="H25" s="72"/>
      <c r="I25" s="73">
        <v>45673</v>
      </c>
      <c r="J25" s="72"/>
      <c r="K25" s="74">
        <v>46051</v>
      </c>
      <c r="L25" s="37"/>
      <c r="M25" s="75">
        <v>46066</v>
      </c>
      <c r="N25" s="76" t="s">
        <v>485</v>
      </c>
    </row>
    <row r="26" spans="1:14" x14ac:dyDescent="0.25">
      <c r="A26" s="4">
        <v>23</v>
      </c>
      <c r="B26" s="72" t="s">
        <v>140</v>
      </c>
      <c r="C26" s="72" t="s">
        <v>406</v>
      </c>
      <c r="D26" s="72" t="s">
        <v>398</v>
      </c>
      <c r="E26" s="73">
        <v>44998</v>
      </c>
      <c r="F26" s="72"/>
      <c r="G26" s="73">
        <v>45364</v>
      </c>
      <c r="H26" s="72"/>
      <c r="I26" s="73">
        <v>45678</v>
      </c>
      <c r="J26" s="72"/>
      <c r="K26" s="75">
        <v>46074</v>
      </c>
      <c r="L26" s="37"/>
      <c r="M26" s="75">
        <v>46086</v>
      </c>
      <c r="N26" s="76"/>
    </row>
    <row r="27" spans="1:14" x14ac:dyDescent="0.25">
      <c r="A27" s="4">
        <v>24</v>
      </c>
      <c r="B27" s="71" t="s">
        <v>140</v>
      </c>
      <c r="C27" s="71" t="s">
        <v>252</v>
      </c>
      <c r="D27" s="71" t="s">
        <v>478</v>
      </c>
      <c r="E27" s="70">
        <v>44998</v>
      </c>
      <c r="F27" s="71"/>
      <c r="G27" s="70">
        <v>45364</v>
      </c>
      <c r="H27" s="71"/>
      <c r="I27" s="69">
        <v>45729</v>
      </c>
      <c r="J27" s="4"/>
      <c r="K27" s="69">
        <v>46094</v>
      </c>
      <c r="L27" s="4"/>
      <c r="M27" s="69">
        <v>46094</v>
      </c>
      <c r="N27" s="4"/>
    </row>
    <row r="28" spans="1:14" x14ac:dyDescent="0.25">
      <c r="A28" s="4">
        <v>25</v>
      </c>
      <c r="B28" s="71" t="s">
        <v>140</v>
      </c>
      <c r="C28" s="71" t="s">
        <v>333</v>
      </c>
      <c r="D28" s="71" t="s">
        <v>286</v>
      </c>
      <c r="E28" s="70">
        <v>44998</v>
      </c>
      <c r="F28" s="71"/>
      <c r="G28" s="70">
        <v>45364</v>
      </c>
      <c r="H28" s="71"/>
      <c r="I28" s="70">
        <v>45803</v>
      </c>
      <c r="J28" s="71"/>
      <c r="K28" s="70">
        <v>46168</v>
      </c>
      <c r="L28" s="4"/>
      <c r="M28" s="71"/>
      <c r="N28" s="4"/>
    </row>
    <row r="29" spans="1:14" x14ac:dyDescent="0.25">
      <c r="A29" s="4">
        <v>26</v>
      </c>
      <c r="B29" s="71" t="s">
        <v>140</v>
      </c>
      <c r="C29" s="71" t="s">
        <v>311</v>
      </c>
      <c r="D29" s="71" t="s">
        <v>286</v>
      </c>
      <c r="E29" s="70">
        <v>44998</v>
      </c>
      <c r="F29" s="71"/>
      <c r="G29" s="70">
        <v>45364</v>
      </c>
      <c r="H29" s="71"/>
      <c r="I29" s="70">
        <v>45803</v>
      </c>
      <c r="J29" s="71"/>
      <c r="K29" s="70">
        <v>46168</v>
      </c>
      <c r="L29" s="4"/>
      <c r="M29" s="71"/>
      <c r="N29" s="4"/>
    </row>
    <row r="30" spans="1:14" x14ac:dyDescent="0.25">
      <c r="A30" s="4">
        <v>27</v>
      </c>
      <c r="B30" s="72" t="s">
        <v>140</v>
      </c>
      <c r="C30" s="72" t="s">
        <v>413</v>
      </c>
      <c r="D30" s="72" t="s">
        <v>398</v>
      </c>
      <c r="E30" s="73">
        <v>44998</v>
      </c>
      <c r="F30" s="72"/>
      <c r="G30" s="73">
        <v>45364</v>
      </c>
      <c r="H30" s="72"/>
      <c r="I30" s="73">
        <v>45680</v>
      </c>
      <c r="J30" s="72"/>
      <c r="K30" s="74">
        <v>46049</v>
      </c>
      <c r="L30" s="37"/>
      <c r="M30" s="74">
        <v>46049</v>
      </c>
      <c r="N30" s="76"/>
    </row>
    <row r="31" spans="1:14" ht="90" x14ac:dyDescent="0.25">
      <c r="A31" s="4">
        <v>28</v>
      </c>
      <c r="B31" s="72" t="s">
        <v>140</v>
      </c>
      <c r="C31" s="72" t="s">
        <v>405</v>
      </c>
      <c r="D31" s="72" t="s">
        <v>398</v>
      </c>
      <c r="E31" s="73">
        <v>44998</v>
      </c>
      <c r="F31" s="72"/>
      <c r="G31" s="73">
        <v>45364</v>
      </c>
      <c r="H31" s="72"/>
      <c r="I31" s="73">
        <v>45673</v>
      </c>
      <c r="J31" s="72"/>
      <c r="K31" s="74">
        <v>46048</v>
      </c>
      <c r="L31" s="37"/>
      <c r="M31" s="75">
        <v>46072</v>
      </c>
      <c r="N31" s="76" t="s">
        <v>486</v>
      </c>
    </row>
    <row r="32" spans="1:14" x14ac:dyDescent="0.25">
      <c r="A32" s="4">
        <v>29</v>
      </c>
      <c r="B32" s="71" t="s">
        <v>140</v>
      </c>
      <c r="C32" s="71" t="s">
        <v>487</v>
      </c>
      <c r="D32" s="71" t="s">
        <v>286</v>
      </c>
      <c r="E32" s="70">
        <v>44998</v>
      </c>
      <c r="F32" s="71"/>
      <c r="G32" s="70">
        <v>45364</v>
      </c>
      <c r="H32" s="71"/>
      <c r="I32" s="70">
        <v>45817</v>
      </c>
      <c r="J32" s="71"/>
      <c r="K32" s="70">
        <v>46182</v>
      </c>
      <c r="L32" s="4"/>
      <c r="M32" s="71"/>
      <c r="N32" s="4"/>
    </row>
    <row r="33" spans="1:14" x14ac:dyDescent="0.25">
      <c r="A33" s="4">
        <v>30</v>
      </c>
      <c r="B33" s="72" t="s">
        <v>140</v>
      </c>
      <c r="C33" s="72" t="s">
        <v>422</v>
      </c>
      <c r="D33" s="72" t="s">
        <v>398</v>
      </c>
      <c r="E33" s="73">
        <v>45059</v>
      </c>
      <c r="F33" s="72"/>
      <c r="G33" s="73">
        <v>45364</v>
      </c>
      <c r="H33" s="72"/>
      <c r="I33" s="73">
        <v>45672</v>
      </c>
      <c r="J33" s="72"/>
      <c r="K33" s="77">
        <v>46050</v>
      </c>
      <c r="L33" s="78"/>
      <c r="M33" s="78"/>
      <c r="N33" s="79" t="s">
        <v>488</v>
      </c>
    </row>
    <row r="34" spans="1:14" x14ac:dyDescent="0.25">
      <c r="A34" s="4">
        <v>31</v>
      </c>
      <c r="B34" s="72" t="s">
        <v>140</v>
      </c>
      <c r="C34" s="72" t="s">
        <v>411</v>
      </c>
      <c r="D34" s="72" t="s">
        <v>398</v>
      </c>
      <c r="E34" s="73">
        <v>45059</v>
      </c>
      <c r="F34" s="72"/>
      <c r="G34" s="73">
        <v>45364</v>
      </c>
      <c r="H34" s="72"/>
      <c r="I34" s="73">
        <v>45674</v>
      </c>
      <c r="J34" s="72"/>
      <c r="K34" s="80">
        <v>46048</v>
      </c>
      <c r="L34" s="78"/>
      <c r="M34" s="80">
        <v>46048</v>
      </c>
      <c r="N34" s="76"/>
    </row>
    <row r="35" spans="1:14" x14ac:dyDescent="0.25">
      <c r="A35" s="4">
        <v>32</v>
      </c>
      <c r="B35" s="72" t="s">
        <v>140</v>
      </c>
      <c r="C35" s="72" t="s">
        <v>489</v>
      </c>
      <c r="D35" s="72" t="s">
        <v>398</v>
      </c>
      <c r="E35" s="73">
        <v>45059</v>
      </c>
      <c r="F35" s="72"/>
      <c r="G35" s="73">
        <v>45364</v>
      </c>
      <c r="H35" s="72"/>
      <c r="I35" s="73">
        <v>45680</v>
      </c>
      <c r="J35" s="72"/>
      <c r="K35" s="81">
        <v>46076</v>
      </c>
      <c r="L35" s="78"/>
      <c r="M35" s="81">
        <v>46071</v>
      </c>
      <c r="N35" s="76"/>
    </row>
    <row r="36" spans="1:14" x14ac:dyDescent="0.25">
      <c r="A36" s="4">
        <v>33</v>
      </c>
      <c r="B36" s="4" t="s">
        <v>140</v>
      </c>
      <c r="C36" s="4" t="s">
        <v>157</v>
      </c>
      <c r="D36" s="4" t="s">
        <v>229</v>
      </c>
      <c r="E36" s="69">
        <v>45153</v>
      </c>
      <c r="F36" s="4"/>
      <c r="G36" s="69">
        <v>45519</v>
      </c>
      <c r="H36" s="4"/>
      <c r="I36" s="69">
        <v>45884</v>
      </c>
      <c r="J36" s="4"/>
      <c r="K36" s="69">
        <v>46249</v>
      </c>
      <c r="L36" s="4"/>
      <c r="M36" s="4"/>
      <c r="N36" s="4"/>
    </row>
    <row r="37" spans="1:14" x14ac:dyDescent="0.25">
      <c r="A37" s="4">
        <v>34</v>
      </c>
      <c r="B37" s="37" t="s">
        <v>140</v>
      </c>
      <c r="C37" s="37" t="s">
        <v>426</v>
      </c>
      <c r="D37" s="37" t="s">
        <v>398</v>
      </c>
      <c r="E37" s="75">
        <v>45241</v>
      </c>
      <c r="F37" s="37"/>
      <c r="G37" s="75">
        <v>45635</v>
      </c>
      <c r="H37" s="37"/>
      <c r="I37" s="75">
        <v>45667</v>
      </c>
      <c r="J37" s="37"/>
      <c r="K37" s="80">
        <v>46052</v>
      </c>
      <c r="L37" s="78"/>
      <c r="M37" s="80">
        <v>46052</v>
      </c>
      <c r="N37" s="76"/>
    </row>
    <row r="38" spans="1:14" x14ac:dyDescent="0.25">
      <c r="A38" s="4">
        <v>35</v>
      </c>
      <c r="B38" s="4" t="s">
        <v>140</v>
      </c>
      <c r="C38" s="4" t="s">
        <v>490</v>
      </c>
      <c r="D38" s="4" t="s">
        <v>286</v>
      </c>
      <c r="E38" s="69">
        <v>45244</v>
      </c>
      <c r="F38" s="4"/>
      <c r="G38" s="69">
        <v>45635</v>
      </c>
      <c r="H38" s="4"/>
      <c r="I38" s="69">
        <v>45805</v>
      </c>
      <c r="J38" s="4"/>
      <c r="K38" s="69">
        <v>46170</v>
      </c>
      <c r="L38" s="4"/>
      <c r="M38" s="4"/>
      <c r="N38" s="4"/>
    </row>
    <row r="39" spans="1:14" x14ac:dyDescent="0.25">
      <c r="A39" s="4">
        <v>36</v>
      </c>
      <c r="B39" s="4" t="s">
        <v>140</v>
      </c>
      <c r="C39" s="4" t="s">
        <v>491</v>
      </c>
      <c r="D39" s="4" t="s">
        <v>286</v>
      </c>
      <c r="E39" s="69">
        <v>45245</v>
      </c>
      <c r="F39" s="4"/>
      <c r="G39" s="69">
        <v>45635</v>
      </c>
      <c r="H39" s="4"/>
      <c r="I39" s="69">
        <v>46000</v>
      </c>
      <c r="J39" s="4"/>
      <c r="K39" s="69">
        <v>46365</v>
      </c>
      <c r="L39" s="4"/>
      <c r="M39" s="4"/>
      <c r="N39" s="4"/>
    </row>
    <row r="40" spans="1:14" x14ac:dyDescent="0.25">
      <c r="A40" s="4">
        <v>37</v>
      </c>
      <c r="B40" s="4" t="s">
        <v>140</v>
      </c>
      <c r="C40" s="4" t="s">
        <v>294</v>
      </c>
      <c r="D40" s="4" t="s">
        <v>286</v>
      </c>
      <c r="E40" s="69">
        <v>45252</v>
      </c>
      <c r="F40" s="4"/>
      <c r="G40" s="69">
        <v>45618</v>
      </c>
      <c r="H40" s="4"/>
      <c r="I40" s="69">
        <v>45786</v>
      </c>
      <c r="J40" s="4"/>
      <c r="K40" s="69">
        <v>46151</v>
      </c>
      <c r="L40" s="4"/>
      <c r="M40" s="4"/>
      <c r="N40" s="4"/>
    </row>
    <row r="41" spans="1:14" x14ac:dyDescent="0.25">
      <c r="A41" s="4">
        <v>38</v>
      </c>
      <c r="B41" s="37" t="s">
        <v>140</v>
      </c>
      <c r="C41" s="37" t="s">
        <v>492</v>
      </c>
      <c r="D41" s="37" t="s">
        <v>398</v>
      </c>
      <c r="E41" s="75">
        <v>45259</v>
      </c>
      <c r="F41" s="37"/>
      <c r="G41" s="75">
        <v>45635</v>
      </c>
      <c r="H41" s="37"/>
      <c r="I41" s="75">
        <v>45677</v>
      </c>
      <c r="J41" s="37"/>
      <c r="K41" s="75">
        <v>46073</v>
      </c>
      <c r="L41" s="37"/>
      <c r="M41" s="75">
        <v>46073</v>
      </c>
      <c r="N41" s="76"/>
    </row>
    <row r="42" spans="1:14" x14ac:dyDescent="0.25">
      <c r="A42" s="4">
        <v>39</v>
      </c>
      <c r="B42" s="72" t="s">
        <v>140</v>
      </c>
      <c r="C42" s="72" t="s">
        <v>403</v>
      </c>
      <c r="D42" s="72" t="s">
        <v>398</v>
      </c>
      <c r="E42" s="73">
        <v>45264</v>
      </c>
      <c r="F42" s="72"/>
      <c r="G42" s="73">
        <v>45635</v>
      </c>
      <c r="H42" s="72"/>
      <c r="I42" s="73">
        <v>45666</v>
      </c>
      <c r="J42" s="72"/>
      <c r="K42" s="80">
        <v>46048</v>
      </c>
      <c r="L42" s="78"/>
      <c r="M42" s="81">
        <v>46071</v>
      </c>
      <c r="N42" s="76" t="s">
        <v>493</v>
      </c>
    </row>
    <row r="43" spans="1:14" ht="45" x14ac:dyDescent="0.25">
      <c r="A43" s="4">
        <v>40</v>
      </c>
      <c r="B43" s="37" t="s">
        <v>140</v>
      </c>
      <c r="C43" s="37" t="s">
        <v>423</v>
      </c>
      <c r="D43" s="37" t="s">
        <v>398</v>
      </c>
      <c r="E43" s="75">
        <v>45266</v>
      </c>
      <c r="F43" s="37"/>
      <c r="G43" s="75">
        <v>45635</v>
      </c>
      <c r="H43" s="37"/>
      <c r="I43" s="75">
        <v>45678</v>
      </c>
      <c r="J43" s="37"/>
      <c r="K43" s="82">
        <v>46051</v>
      </c>
      <c r="L43" s="37"/>
      <c r="M43" s="37"/>
      <c r="N43" s="79" t="s">
        <v>494</v>
      </c>
    </row>
    <row r="44" spans="1:14" x14ac:dyDescent="0.25">
      <c r="A44" s="4">
        <v>41</v>
      </c>
      <c r="B44" s="4" t="s">
        <v>140</v>
      </c>
      <c r="C44" s="4" t="s">
        <v>312</v>
      </c>
      <c r="D44" s="4" t="s">
        <v>286</v>
      </c>
      <c r="E44" s="69">
        <v>45269</v>
      </c>
      <c r="F44" s="4"/>
      <c r="G44" s="69">
        <v>45635</v>
      </c>
      <c r="H44" s="4"/>
      <c r="I44" s="69">
        <v>45789</v>
      </c>
      <c r="J44" s="4"/>
      <c r="K44" s="69">
        <v>46154</v>
      </c>
      <c r="L44" s="4"/>
      <c r="M44" s="4"/>
      <c r="N44" s="4"/>
    </row>
    <row r="45" spans="1:14" x14ac:dyDescent="0.25">
      <c r="A45" s="4">
        <v>42</v>
      </c>
      <c r="B45" s="4" t="s">
        <v>495</v>
      </c>
      <c r="C45" s="4" t="s">
        <v>496</v>
      </c>
      <c r="D45" s="4" t="s">
        <v>286</v>
      </c>
      <c r="E45" s="69">
        <v>45345</v>
      </c>
      <c r="F45" s="4"/>
      <c r="G45" s="4" t="s">
        <v>275</v>
      </c>
      <c r="H45" s="4"/>
      <c r="I45" s="69">
        <v>45817</v>
      </c>
      <c r="J45" s="4"/>
      <c r="K45" s="69">
        <v>46182</v>
      </c>
      <c r="L45" s="4"/>
      <c r="M45" s="4"/>
      <c r="N45" s="4"/>
    </row>
    <row r="46" spans="1:14" x14ac:dyDescent="0.25">
      <c r="A46" s="4">
        <v>43</v>
      </c>
      <c r="B46" s="4" t="s">
        <v>495</v>
      </c>
      <c r="C46" s="4" t="s">
        <v>497</v>
      </c>
      <c r="D46" s="4" t="s">
        <v>286</v>
      </c>
      <c r="E46" s="69">
        <v>45345</v>
      </c>
      <c r="F46" s="4"/>
      <c r="G46" s="4" t="s">
        <v>275</v>
      </c>
      <c r="H46" s="4"/>
      <c r="I46" s="69">
        <v>45946</v>
      </c>
      <c r="J46" s="4"/>
      <c r="K46" s="69">
        <v>46311</v>
      </c>
      <c r="L46" s="4"/>
      <c r="M46" s="4"/>
      <c r="N46" s="4"/>
    </row>
    <row r="47" spans="1:14" x14ac:dyDescent="0.25">
      <c r="A47" s="4">
        <v>44</v>
      </c>
      <c r="B47" s="4" t="s">
        <v>470</v>
      </c>
      <c r="C47" s="4" t="s">
        <v>307</v>
      </c>
      <c r="D47" s="4" t="s">
        <v>286</v>
      </c>
      <c r="E47" s="69">
        <v>45345</v>
      </c>
      <c r="F47" s="4"/>
      <c r="G47" s="4" t="s">
        <v>275</v>
      </c>
      <c r="H47" s="4"/>
      <c r="I47" s="69">
        <v>45817</v>
      </c>
      <c r="J47" s="4"/>
      <c r="K47" s="69">
        <v>46182</v>
      </c>
      <c r="L47" s="4"/>
      <c r="M47" s="4"/>
      <c r="N47" s="4"/>
    </row>
    <row r="48" spans="1:14" x14ac:dyDescent="0.25">
      <c r="A48" s="4">
        <v>45</v>
      </c>
      <c r="B48" s="4" t="s">
        <v>140</v>
      </c>
      <c r="C48" s="4" t="s">
        <v>315</v>
      </c>
      <c r="D48" s="4" t="s">
        <v>286</v>
      </c>
      <c r="E48" s="69">
        <v>45348</v>
      </c>
      <c r="F48" s="4"/>
      <c r="G48" s="4" t="s">
        <v>275</v>
      </c>
      <c r="H48" s="4"/>
      <c r="I48" s="69">
        <v>45960</v>
      </c>
      <c r="J48" s="4"/>
      <c r="K48" s="69">
        <v>46325</v>
      </c>
      <c r="L48" s="4"/>
      <c r="M48" s="4"/>
      <c r="N48" s="4"/>
    </row>
    <row r="49" spans="1:14" x14ac:dyDescent="0.25">
      <c r="A49" s="4">
        <v>46</v>
      </c>
      <c r="B49" s="37" t="s">
        <v>470</v>
      </c>
      <c r="C49" s="37" t="s">
        <v>301</v>
      </c>
      <c r="D49" s="37" t="s">
        <v>286</v>
      </c>
      <c r="E49" s="75">
        <v>45348</v>
      </c>
      <c r="F49" s="37"/>
      <c r="G49" s="37" t="s">
        <v>275</v>
      </c>
      <c r="H49" s="37"/>
      <c r="I49" s="75">
        <v>45714</v>
      </c>
      <c r="J49" s="37"/>
      <c r="K49" s="75">
        <v>46079</v>
      </c>
      <c r="L49" s="37"/>
      <c r="M49" s="75">
        <v>46079</v>
      </c>
      <c r="N49" s="76"/>
    </row>
    <row r="50" spans="1:14" x14ac:dyDescent="0.25">
      <c r="A50" s="4">
        <v>47</v>
      </c>
      <c r="B50" s="4" t="s">
        <v>470</v>
      </c>
      <c r="C50" s="4" t="s">
        <v>498</v>
      </c>
      <c r="D50" s="4" t="s">
        <v>286</v>
      </c>
      <c r="E50" s="69">
        <v>45348</v>
      </c>
      <c r="F50" s="4"/>
      <c r="G50" s="4" t="s">
        <v>275</v>
      </c>
      <c r="H50" s="4"/>
      <c r="I50" s="69">
        <v>45913</v>
      </c>
      <c r="J50" s="4"/>
      <c r="K50" s="69">
        <v>46278</v>
      </c>
      <c r="L50" s="4"/>
      <c r="M50" s="4"/>
      <c r="N50" s="4"/>
    </row>
    <row r="51" spans="1:14" x14ac:dyDescent="0.25">
      <c r="A51" s="4">
        <v>48</v>
      </c>
      <c r="B51" s="4" t="s">
        <v>140</v>
      </c>
      <c r="C51" s="4" t="s">
        <v>304</v>
      </c>
      <c r="D51" s="4" t="s">
        <v>286</v>
      </c>
      <c r="E51" s="69">
        <v>45348</v>
      </c>
      <c r="F51" s="4"/>
      <c r="G51" s="4" t="s">
        <v>275</v>
      </c>
      <c r="H51" s="4"/>
      <c r="I51" s="69">
        <v>45959</v>
      </c>
      <c r="J51" s="4"/>
      <c r="K51" s="69">
        <v>46324</v>
      </c>
      <c r="L51" s="4"/>
      <c r="M51" s="4"/>
      <c r="N51" s="4"/>
    </row>
    <row r="52" spans="1:14" x14ac:dyDescent="0.25">
      <c r="A52" s="4">
        <v>49</v>
      </c>
      <c r="B52" s="4" t="s">
        <v>495</v>
      </c>
      <c r="C52" s="4" t="s">
        <v>499</v>
      </c>
      <c r="D52" s="4" t="s">
        <v>286</v>
      </c>
      <c r="E52" s="69">
        <v>45349</v>
      </c>
      <c r="F52" s="4"/>
      <c r="G52" s="4" t="s">
        <v>275</v>
      </c>
      <c r="H52" s="4"/>
      <c r="I52" s="83">
        <v>45833</v>
      </c>
      <c r="J52" s="84"/>
      <c r="K52" s="83">
        <v>46198</v>
      </c>
      <c r="L52" s="84"/>
      <c r="M52" s="84"/>
      <c r="N52" s="4"/>
    </row>
    <row r="53" spans="1:14" x14ac:dyDescent="0.25">
      <c r="A53" s="4">
        <v>50</v>
      </c>
      <c r="B53" s="4" t="s">
        <v>470</v>
      </c>
      <c r="C53" s="4" t="s">
        <v>500</v>
      </c>
      <c r="D53" s="4" t="s">
        <v>286</v>
      </c>
      <c r="E53" s="69">
        <v>45349</v>
      </c>
      <c r="F53" s="4"/>
      <c r="G53" s="4" t="s">
        <v>275</v>
      </c>
      <c r="H53" s="4"/>
      <c r="I53" s="69">
        <v>45838</v>
      </c>
      <c r="J53" s="4"/>
      <c r="K53" s="69">
        <v>46203</v>
      </c>
      <c r="L53" s="4"/>
      <c r="M53" s="4"/>
      <c r="N53" s="4"/>
    </row>
    <row r="54" spans="1:14" ht="15.75" x14ac:dyDescent="0.25">
      <c r="A54" s="4">
        <v>51</v>
      </c>
      <c r="B54" s="4" t="s">
        <v>140</v>
      </c>
      <c r="C54" s="85" t="s">
        <v>308</v>
      </c>
      <c r="D54" s="4" t="s">
        <v>286</v>
      </c>
      <c r="E54" s="69">
        <v>45349</v>
      </c>
      <c r="F54" s="4"/>
      <c r="G54" s="4" t="s">
        <v>275</v>
      </c>
      <c r="H54" s="4"/>
      <c r="I54" s="69">
        <v>45842</v>
      </c>
      <c r="J54" s="4"/>
      <c r="K54" s="69">
        <v>46207</v>
      </c>
      <c r="L54" s="4"/>
      <c r="M54" s="4"/>
      <c r="N54" s="4"/>
    </row>
    <row r="55" spans="1:14" x14ac:dyDescent="0.25">
      <c r="A55" s="4">
        <v>52</v>
      </c>
      <c r="B55" s="4" t="s">
        <v>140</v>
      </c>
      <c r="C55" s="4" t="s">
        <v>501</v>
      </c>
      <c r="D55" s="4" t="s">
        <v>286</v>
      </c>
      <c r="E55" s="69">
        <v>45349</v>
      </c>
      <c r="F55" s="4"/>
      <c r="G55" s="4" t="s">
        <v>275</v>
      </c>
      <c r="H55" s="4"/>
      <c r="I55" s="69">
        <v>45807</v>
      </c>
      <c r="J55" s="4"/>
      <c r="K55" s="69">
        <v>46172</v>
      </c>
      <c r="L55" s="4"/>
      <c r="M55" s="4"/>
      <c r="N55" s="4"/>
    </row>
    <row r="56" spans="1:14" x14ac:dyDescent="0.25">
      <c r="A56" s="4">
        <v>53</v>
      </c>
      <c r="B56" s="4" t="s">
        <v>495</v>
      </c>
      <c r="C56" s="4" t="s">
        <v>502</v>
      </c>
      <c r="D56" s="4" t="s">
        <v>286</v>
      </c>
      <c r="E56" s="69">
        <v>45350</v>
      </c>
      <c r="F56" s="4"/>
      <c r="G56" s="4" t="s">
        <v>275</v>
      </c>
      <c r="H56" s="4"/>
      <c r="I56" s="83">
        <v>45819</v>
      </c>
      <c r="J56" s="84"/>
      <c r="K56" s="83">
        <v>46184</v>
      </c>
      <c r="L56" s="84"/>
      <c r="M56" s="84"/>
      <c r="N56" s="4"/>
    </row>
    <row r="57" spans="1:14" x14ac:dyDescent="0.25">
      <c r="A57" s="4">
        <v>54</v>
      </c>
      <c r="B57" s="4" t="s">
        <v>495</v>
      </c>
      <c r="C57" s="4" t="s">
        <v>503</v>
      </c>
      <c r="D57" s="4" t="s">
        <v>286</v>
      </c>
      <c r="E57" s="69">
        <v>45350</v>
      </c>
      <c r="F57" s="4"/>
      <c r="G57" s="4" t="s">
        <v>275</v>
      </c>
      <c r="H57" s="4"/>
      <c r="I57" s="83">
        <v>45840</v>
      </c>
      <c r="J57" s="84"/>
      <c r="K57" s="83">
        <v>46205</v>
      </c>
      <c r="L57" s="84"/>
      <c r="M57" s="84"/>
      <c r="N57" s="4"/>
    </row>
    <row r="58" spans="1:14" x14ac:dyDescent="0.25">
      <c r="A58" s="4">
        <v>55</v>
      </c>
      <c r="B58" s="4" t="s">
        <v>495</v>
      </c>
      <c r="C58" s="4" t="s">
        <v>504</v>
      </c>
      <c r="D58" s="4" t="s">
        <v>286</v>
      </c>
      <c r="E58" s="69">
        <v>45350</v>
      </c>
      <c r="F58" s="4"/>
      <c r="G58" s="4" t="s">
        <v>275</v>
      </c>
      <c r="H58" s="4"/>
      <c r="I58" s="83">
        <v>45923</v>
      </c>
      <c r="J58" s="84"/>
      <c r="K58" s="83">
        <v>46288</v>
      </c>
      <c r="L58" s="84"/>
      <c r="M58" s="84"/>
      <c r="N58" s="4"/>
    </row>
    <row r="59" spans="1:14" x14ac:dyDescent="0.25">
      <c r="A59" s="4">
        <v>56</v>
      </c>
      <c r="B59" s="4" t="s">
        <v>470</v>
      </c>
      <c r="C59" s="4" t="s">
        <v>505</v>
      </c>
      <c r="D59" s="4" t="s">
        <v>286</v>
      </c>
      <c r="E59" s="69">
        <v>45350</v>
      </c>
      <c r="F59" s="4"/>
      <c r="G59" s="4" t="s">
        <v>275</v>
      </c>
      <c r="H59" s="4"/>
      <c r="I59" s="69">
        <v>45923</v>
      </c>
      <c r="J59" s="4"/>
      <c r="K59" s="69">
        <v>46288</v>
      </c>
      <c r="L59" s="4"/>
      <c r="M59" s="4"/>
      <c r="N59" s="4"/>
    </row>
    <row r="60" spans="1:14" x14ac:dyDescent="0.25">
      <c r="A60" s="4">
        <v>57</v>
      </c>
      <c r="B60" s="4" t="s">
        <v>495</v>
      </c>
      <c r="C60" s="4" t="s">
        <v>506</v>
      </c>
      <c r="D60" s="4" t="s">
        <v>286</v>
      </c>
      <c r="E60" s="69">
        <v>45350</v>
      </c>
      <c r="F60" s="4"/>
      <c r="G60" s="4" t="s">
        <v>275</v>
      </c>
      <c r="H60" s="4"/>
      <c r="I60" s="83">
        <v>45820</v>
      </c>
      <c r="J60" s="84"/>
      <c r="K60" s="83">
        <v>46185</v>
      </c>
      <c r="L60" s="84"/>
      <c r="M60" s="84"/>
      <c r="N60" s="4"/>
    </row>
    <row r="61" spans="1:14" x14ac:dyDescent="0.25">
      <c r="A61" s="4">
        <v>58</v>
      </c>
      <c r="B61" s="4" t="s">
        <v>470</v>
      </c>
      <c r="C61" s="4" t="s">
        <v>507</v>
      </c>
      <c r="D61" s="4" t="s">
        <v>286</v>
      </c>
      <c r="E61" s="69">
        <v>45351</v>
      </c>
      <c r="F61" s="4"/>
      <c r="G61" s="4" t="s">
        <v>275</v>
      </c>
      <c r="H61" s="4"/>
      <c r="I61" s="69">
        <v>45889</v>
      </c>
      <c r="J61" s="4"/>
      <c r="K61" s="69">
        <v>46254</v>
      </c>
      <c r="L61" s="4"/>
      <c r="M61" s="4"/>
      <c r="N61" s="4"/>
    </row>
    <row r="62" spans="1:14" x14ac:dyDescent="0.25">
      <c r="A62" s="4">
        <v>59</v>
      </c>
      <c r="B62" s="4" t="s">
        <v>470</v>
      </c>
      <c r="C62" s="4" t="s">
        <v>508</v>
      </c>
      <c r="D62" s="4" t="s">
        <v>286</v>
      </c>
      <c r="E62" s="69">
        <v>45351</v>
      </c>
      <c r="F62" s="4"/>
      <c r="G62" s="4" t="s">
        <v>275</v>
      </c>
      <c r="H62" s="4"/>
      <c r="I62" s="69">
        <v>45717</v>
      </c>
      <c r="J62" s="4"/>
      <c r="K62" s="69">
        <v>46082</v>
      </c>
      <c r="L62" s="4"/>
      <c r="M62" s="69">
        <v>46083</v>
      </c>
      <c r="N62" s="4"/>
    </row>
    <row r="63" spans="1:14" x14ac:dyDescent="0.25">
      <c r="A63" s="4">
        <v>60</v>
      </c>
      <c r="B63" s="4" t="s">
        <v>140</v>
      </c>
      <c r="C63" s="4" t="s">
        <v>509</v>
      </c>
      <c r="D63" s="4" t="s">
        <v>286</v>
      </c>
      <c r="E63" s="69">
        <v>45351</v>
      </c>
      <c r="F63" s="4"/>
      <c r="G63" s="4" t="s">
        <v>275</v>
      </c>
      <c r="H63" s="4"/>
      <c r="I63" s="69">
        <v>45717</v>
      </c>
      <c r="J63" s="4"/>
      <c r="K63" s="69">
        <v>46082</v>
      </c>
      <c r="L63" s="4"/>
      <c r="M63" s="69">
        <v>46083</v>
      </c>
      <c r="N63" s="4"/>
    </row>
    <row r="64" spans="1:14" x14ac:dyDescent="0.25">
      <c r="A64" s="4">
        <v>61</v>
      </c>
      <c r="B64" s="4" t="s">
        <v>510</v>
      </c>
      <c r="C64" s="4" t="s">
        <v>511</v>
      </c>
      <c r="D64" s="4" t="s">
        <v>286</v>
      </c>
      <c r="E64" s="69">
        <v>45351</v>
      </c>
      <c r="F64" s="4"/>
      <c r="G64" s="4" t="s">
        <v>275</v>
      </c>
      <c r="H64" s="4"/>
      <c r="I64" s="69">
        <v>45814</v>
      </c>
      <c r="J64" s="4"/>
      <c r="K64" s="69">
        <v>46179</v>
      </c>
      <c r="L64" s="4"/>
      <c r="M64" s="4"/>
      <c r="N64" s="4"/>
    </row>
    <row r="65" spans="1:14" x14ac:dyDescent="0.25">
      <c r="A65" s="4">
        <v>62</v>
      </c>
      <c r="B65" s="4" t="s">
        <v>495</v>
      </c>
      <c r="C65" s="4" t="s">
        <v>512</v>
      </c>
      <c r="D65" s="4" t="s">
        <v>286</v>
      </c>
      <c r="E65" s="69">
        <v>45352</v>
      </c>
      <c r="F65" s="4"/>
      <c r="G65" s="84" t="s">
        <v>275</v>
      </c>
      <c r="H65" s="84"/>
      <c r="I65" s="83">
        <v>45841</v>
      </c>
      <c r="J65" s="84"/>
      <c r="K65" s="83">
        <v>46206</v>
      </c>
      <c r="L65" s="84"/>
      <c r="M65" s="84"/>
      <c r="N65" s="4"/>
    </row>
    <row r="66" spans="1:14" x14ac:dyDescent="0.25">
      <c r="A66" s="4">
        <v>63</v>
      </c>
      <c r="B66" s="4" t="s">
        <v>470</v>
      </c>
      <c r="C66" s="4" t="s">
        <v>513</v>
      </c>
      <c r="D66" s="4" t="s">
        <v>286</v>
      </c>
      <c r="E66" s="69">
        <v>45352</v>
      </c>
      <c r="F66" s="4"/>
      <c r="G66" s="4" t="s">
        <v>275</v>
      </c>
      <c r="H66" s="4"/>
      <c r="I66" s="69">
        <v>45835</v>
      </c>
      <c r="J66" s="4"/>
      <c r="K66" s="69">
        <v>46200</v>
      </c>
      <c r="L66" s="4"/>
      <c r="M66" s="4"/>
      <c r="N66" s="4"/>
    </row>
    <row r="67" spans="1:14" x14ac:dyDescent="0.25">
      <c r="A67" s="4">
        <v>64</v>
      </c>
      <c r="B67" s="4" t="s">
        <v>140</v>
      </c>
      <c r="C67" s="4" t="s">
        <v>288</v>
      </c>
      <c r="D67" s="4" t="s">
        <v>286</v>
      </c>
      <c r="E67" s="69">
        <v>45352</v>
      </c>
      <c r="F67" s="4"/>
      <c r="G67" s="4" t="s">
        <v>275</v>
      </c>
      <c r="H67" s="4"/>
      <c r="I67" s="69">
        <v>45952</v>
      </c>
      <c r="J67" s="4"/>
      <c r="K67" s="69">
        <v>46317</v>
      </c>
      <c r="L67" s="4"/>
      <c r="M67" s="4"/>
      <c r="N67" s="4"/>
    </row>
    <row r="68" spans="1:14" x14ac:dyDescent="0.25">
      <c r="A68" s="4">
        <v>65</v>
      </c>
      <c r="B68" s="4" t="s">
        <v>470</v>
      </c>
      <c r="C68" s="4" t="s">
        <v>514</v>
      </c>
      <c r="D68" s="4" t="s">
        <v>286</v>
      </c>
      <c r="E68" s="69">
        <v>45352</v>
      </c>
      <c r="F68" s="4"/>
      <c r="G68" s="4" t="s">
        <v>275</v>
      </c>
      <c r="H68" s="4"/>
      <c r="I68" s="69">
        <v>45717</v>
      </c>
      <c r="J68" s="4"/>
      <c r="K68" s="69">
        <v>46082</v>
      </c>
      <c r="L68" s="4"/>
      <c r="M68" s="69">
        <v>46083</v>
      </c>
      <c r="N68" s="4"/>
    </row>
    <row r="69" spans="1:14" x14ac:dyDescent="0.25">
      <c r="A69" s="4">
        <v>66</v>
      </c>
      <c r="B69" s="4" t="s">
        <v>470</v>
      </c>
      <c r="C69" s="4" t="s">
        <v>515</v>
      </c>
      <c r="D69" s="4" t="s">
        <v>286</v>
      </c>
      <c r="E69" s="69">
        <v>45352</v>
      </c>
      <c r="F69" s="4"/>
      <c r="G69" s="4" t="s">
        <v>275</v>
      </c>
      <c r="H69" s="4"/>
      <c r="I69" s="69">
        <v>45717</v>
      </c>
      <c r="J69" s="4"/>
      <c r="K69" s="69">
        <v>46082</v>
      </c>
      <c r="L69" s="4"/>
      <c r="M69" s="69">
        <v>46083</v>
      </c>
      <c r="N69" s="4"/>
    </row>
    <row r="70" spans="1:14" x14ac:dyDescent="0.25">
      <c r="A70" s="4">
        <v>67</v>
      </c>
      <c r="B70" s="4" t="s">
        <v>470</v>
      </c>
      <c r="C70" s="4" t="s">
        <v>516</v>
      </c>
      <c r="D70" s="4" t="s">
        <v>286</v>
      </c>
      <c r="E70" s="69">
        <v>45352</v>
      </c>
      <c r="F70" s="4"/>
      <c r="G70" s="4" t="s">
        <v>275</v>
      </c>
      <c r="H70" s="4"/>
      <c r="I70" s="69">
        <v>45930</v>
      </c>
      <c r="J70" s="4"/>
      <c r="K70" s="69">
        <v>46295</v>
      </c>
      <c r="L70" s="4"/>
      <c r="M70" s="4"/>
      <c r="N70" s="4"/>
    </row>
    <row r="71" spans="1:14" x14ac:dyDescent="0.25">
      <c r="A71" s="4">
        <v>68</v>
      </c>
      <c r="B71" s="4" t="s">
        <v>495</v>
      </c>
      <c r="C71" s="4" t="s">
        <v>517</v>
      </c>
      <c r="D71" s="4" t="s">
        <v>286</v>
      </c>
      <c r="E71" s="69">
        <v>45353</v>
      </c>
      <c r="F71" s="4"/>
      <c r="G71" s="4" t="s">
        <v>275</v>
      </c>
      <c r="H71" s="4"/>
      <c r="I71" s="69">
        <v>45856</v>
      </c>
      <c r="J71" s="4"/>
      <c r="K71" s="69">
        <v>46221</v>
      </c>
      <c r="L71" s="4"/>
      <c r="M71" s="4"/>
      <c r="N71" s="4"/>
    </row>
    <row r="72" spans="1:14" x14ac:dyDescent="0.25">
      <c r="A72" s="4">
        <v>69</v>
      </c>
      <c r="B72" s="4" t="s">
        <v>470</v>
      </c>
      <c r="C72" s="4" t="s">
        <v>518</v>
      </c>
      <c r="D72" s="4" t="s">
        <v>286</v>
      </c>
      <c r="E72" s="69">
        <v>45353</v>
      </c>
      <c r="F72" s="4"/>
      <c r="G72" s="4" t="s">
        <v>275</v>
      </c>
      <c r="H72" s="4"/>
      <c r="I72" s="69">
        <v>45954</v>
      </c>
      <c r="J72" s="4"/>
      <c r="K72" s="69">
        <v>46319</v>
      </c>
      <c r="L72" s="4"/>
      <c r="M72" s="4"/>
      <c r="N72" s="4"/>
    </row>
    <row r="73" spans="1:14" x14ac:dyDescent="0.25">
      <c r="A73" s="4">
        <v>70</v>
      </c>
      <c r="B73" s="37" t="s">
        <v>495</v>
      </c>
      <c r="C73" s="37" t="s">
        <v>519</v>
      </c>
      <c r="D73" s="37" t="s">
        <v>398</v>
      </c>
      <c r="E73" s="75">
        <v>45355</v>
      </c>
      <c r="F73" s="37"/>
      <c r="G73" s="37" t="s">
        <v>275</v>
      </c>
      <c r="H73" s="37"/>
      <c r="I73" s="75">
        <v>45673</v>
      </c>
      <c r="J73" s="37"/>
      <c r="K73" s="75">
        <v>46069</v>
      </c>
      <c r="L73" s="37"/>
      <c r="M73" s="75">
        <v>46085</v>
      </c>
      <c r="N73" s="76"/>
    </row>
    <row r="74" spans="1:14" x14ac:dyDescent="0.25">
      <c r="A74" s="4">
        <v>71</v>
      </c>
      <c r="B74" s="37" t="s">
        <v>510</v>
      </c>
      <c r="C74" s="37" t="s">
        <v>520</v>
      </c>
      <c r="D74" s="37" t="s">
        <v>398</v>
      </c>
      <c r="E74" s="75">
        <v>45355</v>
      </c>
      <c r="F74" s="37"/>
      <c r="G74" s="37" t="s">
        <v>275</v>
      </c>
      <c r="H74" s="37"/>
      <c r="I74" s="75">
        <v>45680</v>
      </c>
      <c r="J74" s="37"/>
      <c r="K74" s="86">
        <v>46076</v>
      </c>
      <c r="L74" s="87"/>
      <c r="M74" s="86">
        <v>46085</v>
      </c>
      <c r="N74" s="76"/>
    </row>
    <row r="75" spans="1:14" x14ac:dyDescent="0.25">
      <c r="A75" s="4">
        <v>72</v>
      </c>
      <c r="B75" s="37" t="s">
        <v>470</v>
      </c>
      <c r="C75" s="37" t="s">
        <v>521</v>
      </c>
      <c r="D75" s="37" t="s">
        <v>398</v>
      </c>
      <c r="E75" s="75">
        <v>45355</v>
      </c>
      <c r="F75" s="37"/>
      <c r="G75" s="37" t="s">
        <v>275</v>
      </c>
      <c r="H75" s="37"/>
      <c r="I75" s="75">
        <v>45673</v>
      </c>
      <c r="J75" s="37"/>
      <c r="K75" s="75">
        <v>46069</v>
      </c>
      <c r="L75" s="37"/>
      <c r="M75" s="75">
        <v>46085</v>
      </c>
      <c r="N75" s="76"/>
    </row>
    <row r="76" spans="1:14" x14ac:dyDescent="0.25">
      <c r="A76" s="4">
        <v>73</v>
      </c>
      <c r="B76" s="4" t="s">
        <v>470</v>
      </c>
      <c r="C76" s="4" t="s">
        <v>522</v>
      </c>
      <c r="D76" s="4" t="s">
        <v>478</v>
      </c>
      <c r="E76" s="69">
        <v>45355</v>
      </c>
      <c r="F76" s="4"/>
      <c r="G76" s="4" t="s">
        <v>275</v>
      </c>
      <c r="H76" s="4"/>
      <c r="I76" s="69">
        <v>45720</v>
      </c>
      <c r="J76" s="4"/>
      <c r="K76" s="69">
        <v>46085</v>
      </c>
      <c r="L76" s="4"/>
      <c r="M76" s="69">
        <v>46085</v>
      </c>
      <c r="N76" s="4"/>
    </row>
    <row r="77" spans="1:14" x14ac:dyDescent="0.25">
      <c r="A77" s="4">
        <v>74</v>
      </c>
      <c r="B77" s="4" t="s">
        <v>470</v>
      </c>
      <c r="C77" s="4" t="s">
        <v>523</v>
      </c>
      <c r="D77" s="4" t="s">
        <v>477</v>
      </c>
      <c r="E77" s="69">
        <v>45355</v>
      </c>
      <c r="F77" s="4"/>
      <c r="G77" s="4" t="s">
        <v>275</v>
      </c>
      <c r="H77" s="4"/>
      <c r="I77" s="69">
        <v>45720</v>
      </c>
      <c r="J77" s="4"/>
      <c r="K77" s="69">
        <v>46085</v>
      </c>
      <c r="L77" s="4"/>
      <c r="M77" s="69">
        <v>46085</v>
      </c>
      <c r="N77" s="4"/>
    </row>
    <row r="78" spans="1:14" x14ac:dyDescent="0.25">
      <c r="A78" s="4">
        <v>75</v>
      </c>
      <c r="B78" s="4" t="s">
        <v>140</v>
      </c>
      <c r="C78" s="4" t="s">
        <v>524</v>
      </c>
      <c r="D78" s="4" t="s">
        <v>477</v>
      </c>
      <c r="E78" s="69">
        <v>45356</v>
      </c>
      <c r="F78" s="4"/>
      <c r="G78" s="4" t="s">
        <v>275</v>
      </c>
      <c r="H78" s="4"/>
      <c r="I78" s="69">
        <v>45903</v>
      </c>
      <c r="J78" s="4"/>
      <c r="K78" s="69">
        <v>46268</v>
      </c>
      <c r="L78" s="4"/>
      <c r="M78" s="4"/>
      <c r="N78" s="4"/>
    </row>
    <row r="79" spans="1:14" x14ac:dyDescent="0.25">
      <c r="A79" s="4">
        <v>76</v>
      </c>
      <c r="B79" s="4" t="s">
        <v>510</v>
      </c>
      <c r="C79" s="4" t="s">
        <v>525</v>
      </c>
      <c r="D79" s="4" t="s">
        <v>478</v>
      </c>
      <c r="E79" s="69">
        <v>45356</v>
      </c>
      <c r="F79" s="4"/>
      <c r="G79" s="4" t="s">
        <v>275</v>
      </c>
      <c r="H79" s="4"/>
      <c r="I79" s="69">
        <v>45862</v>
      </c>
      <c r="J79" s="4"/>
      <c r="K79" s="69">
        <v>46227</v>
      </c>
      <c r="L79" s="4"/>
      <c r="M79" s="4"/>
      <c r="N79" s="4"/>
    </row>
    <row r="80" spans="1:14" x14ac:dyDescent="0.25">
      <c r="A80" s="4">
        <v>77</v>
      </c>
      <c r="B80" s="4" t="s">
        <v>510</v>
      </c>
      <c r="C80" s="4" t="s">
        <v>526</v>
      </c>
      <c r="D80" s="4" t="s">
        <v>478</v>
      </c>
      <c r="E80" s="69">
        <v>45356</v>
      </c>
      <c r="F80" s="4"/>
      <c r="G80" s="4" t="s">
        <v>275</v>
      </c>
      <c r="H80" s="4"/>
      <c r="I80" s="69">
        <v>45887</v>
      </c>
      <c r="J80" s="4"/>
      <c r="K80" s="69">
        <v>46252</v>
      </c>
      <c r="L80" s="4"/>
      <c r="M80" s="4"/>
      <c r="N80" s="4"/>
    </row>
    <row r="81" spans="1:14" x14ac:dyDescent="0.25">
      <c r="A81" s="4">
        <v>78</v>
      </c>
      <c r="B81" s="37" t="s">
        <v>510</v>
      </c>
      <c r="C81" s="37" t="s">
        <v>527</v>
      </c>
      <c r="D81" s="37" t="s">
        <v>398</v>
      </c>
      <c r="E81" s="75">
        <v>45356</v>
      </c>
      <c r="F81" s="37"/>
      <c r="G81" s="37" t="s">
        <v>275</v>
      </c>
      <c r="H81" s="37"/>
      <c r="I81" s="75">
        <v>45695</v>
      </c>
      <c r="J81" s="37"/>
      <c r="K81" s="75">
        <v>46060</v>
      </c>
      <c r="L81" s="37"/>
      <c r="M81" s="75">
        <v>46083</v>
      </c>
      <c r="N81" s="76"/>
    </row>
    <row r="82" spans="1:14" x14ac:dyDescent="0.25">
      <c r="A82" s="4">
        <v>79</v>
      </c>
      <c r="B82" s="37" t="s">
        <v>510</v>
      </c>
      <c r="C82" s="37" t="s">
        <v>528</v>
      </c>
      <c r="D82" s="37" t="s">
        <v>398</v>
      </c>
      <c r="E82" s="75">
        <v>45356</v>
      </c>
      <c r="F82" s="37"/>
      <c r="G82" s="37" t="s">
        <v>275</v>
      </c>
      <c r="H82" s="37"/>
      <c r="I82" s="75">
        <v>45673</v>
      </c>
      <c r="J82" s="37"/>
      <c r="K82" s="75">
        <v>46069</v>
      </c>
      <c r="L82" s="37"/>
      <c r="M82" s="75">
        <v>46079</v>
      </c>
      <c r="N82" s="76"/>
    </row>
    <row r="83" spans="1:14" x14ac:dyDescent="0.25">
      <c r="A83" s="4">
        <v>80</v>
      </c>
      <c r="B83" s="37" t="s">
        <v>470</v>
      </c>
      <c r="C83" s="37" t="s">
        <v>529</v>
      </c>
      <c r="D83" s="37" t="s">
        <v>398</v>
      </c>
      <c r="E83" s="75">
        <v>45356</v>
      </c>
      <c r="F83" s="37"/>
      <c r="G83" s="37" t="s">
        <v>275</v>
      </c>
      <c r="H83" s="37"/>
      <c r="I83" s="75">
        <v>45673</v>
      </c>
      <c r="J83" s="37"/>
      <c r="K83" s="75">
        <v>46069</v>
      </c>
      <c r="L83" s="37"/>
      <c r="M83" s="75">
        <v>46079</v>
      </c>
      <c r="N83" s="76"/>
    </row>
    <row r="84" spans="1:14" x14ac:dyDescent="0.25">
      <c r="A84" s="4">
        <v>81</v>
      </c>
      <c r="B84" s="4" t="s">
        <v>495</v>
      </c>
      <c r="C84" s="4" t="s">
        <v>530</v>
      </c>
      <c r="D84" s="4" t="s">
        <v>478</v>
      </c>
      <c r="E84" s="69">
        <v>45357</v>
      </c>
      <c r="F84" s="4"/>
      <c r="G84" s="4" t="s">
        <v>275</v>
      </c>
      <c r="H84" s="4"/>
      <c r="I84" s="69">
        <v>45886</v>
      </c>
      <c r="J84" s="4"/>
      <c r="K84" s="69">
        <v>46251</v>
      </c>
      <c r="L84" s="4"/>
      <c r="M84" s="4"/>
      <c r="N84" s="4"/>
    </row>
    <row r="85" spans="1:14" x14ac:dyDescent="0.25">
      <c r="A85" s="4">
        <v>82</v>
      </c>
      <c r="B85" s="4" t="s">
        <v>470</v>
      </c>
      <c r="C85" s="4" t="s">
        <v>531</v>
      </c>
      <c r="D85" s="4" t="s">
        <v>479</v>
      </c>
      <c r="E85" s="69">
        <v>45357</v>
      </c>
      <c r="F85" s="4"/>
      <c r="G85" s="4" t="s">
        <v>275</v>
      </c>
      <c r="H85" s="4"/>
      <c r="I85" s="69">
        <v>45905</v>
      </c>
      <c r="J85" s="4"/>
      <c r="K85" s="69">
        <v>46270</v>
      </c>
      <c r="L85" s="4"/>
      <c r="M85" s="4"/>
      <c r="N85" s="4"/>
    </row>
    <row r="86" spans="1:14" x14ac:dyDescent="0.25">
      <c r="A86" s="4">
        <v>83</v>
      </c>
      <c r="B86" s="37" t="s">
        <v>495</v>
      </c>
      <c r="C86" s="37" t="s">
        <v>532</v>
      </c>
      <c r="D86" s="37" t="s">
        <v>398</v>
      </c>
      <c r="E86" s="75">
        <v>45357</v>
      </c>
      <c r="F86" s="37"/>
      <c r="G86" s="37" t="s">
        <v>275</v>
      </c>
      <c r="H86" s="37"/>
      <c r="I86" s="75">
        <v>45671</v>
      </c>
      <c r="J86" s="37"/>
      <c r="K86" s="75">
        <v>46067</v>
      </c>
      <c r="L86" s="37"/>
      <c r="M86" s="75">
        <v>46078</v>
      </c>
      <c r="N86" s="76"/>
    </row>
    <row r="87" spans="1:14" x14ac:dyDescent="0.25">
      <c r="A87" s="4">
        <v>84</v>
      </c>
      <c r="B87" s="37" t="s">
        <v>470</v>
      </c>
      <c r="C87" s="37" t="s">
        <v>533</v>
      </c>
      <c r="D87" s="37" t="s">
        <v>398</v>
      </c>
      <c r="E87" s="75">
        <v>45357</v>
      </c>
      <c r="F87" s="37"/>
      <c r="G87" s="37" t="s">
        <v>275</v>
      </c>
      <c r="H87" s="37"/>
      <c r="I87" s="75">
        <v>45671</v>
      </c>
      <c r="J87" s="37"/>
      <c r="K87" s="75">
        <v>46067</v>
      </c>
      <c r="L87" s="37"/>
      <c r="M87" s="75">
        <v>46078</v>
      </c>
      <c r="N87" s="76"/>
    </row>
    <row r="88" spans="1:14" x14ac:dyDescent="0.25">
      <c r="A88" s="4">
        <v>85</v>
      </c>
      <c r="B88" s="4" t="s">
        <v>470</v>
      </c>
      <c r="C88" s="4" t="s">
        <v>534</v>
      </c>
      <c r="D88" s="4" t="s">
        <v>479</v>
      </c>
      <c r="E88" s="69">
        <v>45357</v>
      </c>
      <c r="F88" s="4"/>
      <c r="G88" s="4" t="s">
        <v>275</v>
      </c>
      <c r="H88" s="4"/>
      <c r="I88" s="69">
        <v>45905</v>
      </c>
      <c r="J88" s="4"/>
      <c r="K88" s="69">
        <v>46270</v>
      </c>
      <c r="L88" s="4"/>
      <c r="M88" s="4"/>
      <c r="N88" s="4"/>
    </row>
    <row r="89" spans="1:14" x14ac:dyDescent="0.25">
      <c r="A89" s="4">
        <v>86</v>
      </c>
      <c r="B89" s="4" t="s">
        <v>510</v>
      </c>
      <c r="C89" s="4" t="s">
        <v>535</v>
      </c>
      <c r="D89" s="4" t="s">
        <v>398</v>
      </c>
      <c r="E89" s="69">
        <v>45357</v>
      </c>
      <c r="F89" s="4"/>
      <c r="G89" s="4" t="s">
        <v>275</v>
      </c>
      <c r="H89" s="4"/>
      <c r="I89" s="69">
        <v>45722</v>
      </c>
      <c r="J89" s="4"/>
      <c r="K89" s="69">
        <v>46087</v>
      </c>
      <c r="L89" s="4"/>
      <c r="M89" s="69">
        <v>46087</v>
      </c>
      <c r="N89" s="4"/>
    </row>
    <row r="90" spans="1:14" x14ac:dyDescent="0.25">
      <c r="A90" s="4">
        <v>87</v>
      </c>
      <c r="B90" s="84" t="s">
        <v>495</v>
      </c>
      <c r="C90" s="4" t="s">
        <v>536</v>
      </c>
      <c r="D90" s="4" t="s">
        <v>478</v>
      </c>
      <c r="E90" s="69">
        <v>45358</v>
      </c>
      <c r="F90" s="4"/>
      <c r="G90" s="84" t="s">
        <v>275</v>
      </c>
      <c r="H90" s="84"/>
      <c r="I90" s="83">
        <v>45886</v>
      </c>
      <c r="J90" s="84"/>
      <c r="K90" s="69">
        <v>46251</v>
      </c>
      <c r="L90" s="4"/>
      <c r="M90" s="4"/>
      <c r="N90" s="4"/>
    </row>
    <row r="91" spans="1:14" x14ac:dyDescent="0.25">
      <c r="A91" s="4">
        <v>88</v>
      </c>
      <c r="B91" s="4" t="s">
        <v>495</v>
      </c>
      <c r="C91" s="4" t="s">
        <v>537</v>
      </c>
      <c r="D91" s="4" t="s">
        <v>478</v>
      </c>
      <c r="E91" s="69">
        <v>45358</v>
      </c>
      <c r="F91" s="4"/>
      <c r="G91" s="4" t="s">
        <v>275</v>
      </c>
      <c r="H91" s="4"/>
      <c r="I91" s="69">
        <v>45887</v>
      </c>
      <c r="J91" s="4"/>
      <c r="K91" s="69">
        <v>46252</v>
      </c>
      <c r="L91" s="4"/>
      <c r="M91" s="4"/>
      <c r="N91" s="4"/>
    </row>
    <row r="92" spans="1:14" x14ac:dyDescent="0.25">
      <c r="A92" s="4">
        <v>89</v>
      </c>
      <c r="B92" s="4" t="s">
        <v>470</v>
      </c>
      <c r="C92" s="4" t="s">
        <v>538</v>
      </c>
      <c r="D92" s="4" t="s">
        <v>479</v>
      </c>
      <c r="E92" s="69">
        <v>45358</v>
      </c>
      <c r="F92" s="4"/>
      <c r="G92" s="4" t="s">
        <v>275</v>
      </c>
      <c r="H92" s="4"/>
      <c r="I92" s="69">
        <v>45905</v>
      </c>
      <c r="J92" s="4"/>
      <c r="K92" s="69">
        <v>46270</v>
      </c>
      <c r="L92" s="4"/>
      <c r="M92" s="4"/>
      <c r="N92" s="4"/>
    </row>
    <row r="93" spans="1:14" x14ac:dyDescent="0.25">
      <c r="A93" s="4">
        <v>90</v>
      </c>
      <c r="B93" s="4" t="s">
        <v>510</v>
      </c>
      <c r="C93" s="4" t="s">
        <v>539</v>
      </c>
      <c r="D93" s="4" t="s">
        <v>398</v>
      </c>
      <c r="E93" s="69">
        <v>45358</v>
      </c>
      <c r="F93" s="4"/>
      <c r="G93" s="4" t="s">
        <v>275</v>
      </c>
      <c r="H93" s="4"/>
      <c r="I93" s="69">
        <v>45723</v>
      </c>
      <c r="J93" s="4"/>
      <c r="K93" s="69">
        <v>46088</v>
      </c>
      <c r="L93" s="4"/>
      <c r="M93" s="69">
        <v>46090</v>
      </c>
      <c r="N93" s="4"/>
    </row>
    <row r="94" spans="1:14" x14ac:dyDescent="0.25">
      <c r="A94" s="4">
        <v>91</v>
      </c>
      <c r="B94" s="37" t="s">
        <v>470</v>
      </c>
      <c r="C94" s="37" t="s">
        <v>540</v>
      </c>
      <c r="D94" s="37" t="s">
        <v>398</v>
      </c>
      <c r="E94" s="75">
        <v>45358</v>
      </c>
      <c r="F94" s="37"/>
      <c r="G94" s="37" t="s">
        <v>275</v>
      </c>
      <c r="H94" s="37"/>
      <c r="I94" s="75">
        <v>45678</v>
      </c>
      <c r="J94" s="37"/>
      <c r="K94" s="75">
        <v>46074</v>
      </c>
      <c r="L94" s="37"/>
      <c r="M94" s="75">
        <v>46086</v>
      </c>
      <c r="N94" s="76"/>
    </row>
    <row r="95" spans="1:14" x14ac:dyDescent="0.25">
      <c r="A95" s="4">
        <v>92</v>
      </c>
      <c r="B95" s="37" t="s">
        <v>470</v>
      </c>
      <c r="C95" s="37" t="s">
        <v>541</v>
      </c>
      <c r="D95" s="37" t="s">
        <v>398</v>
      </c>
      <c r="E95" s="75">
        <v>45358</v>
      </c>
      <c r="F95" s="37"/>
      <c r="G95" s="37" t="s">
        <v>275</v>
      </c>
      <c r="H95" s="37"/>
      <c r="I95" s="75">
        <v>45671</v>
      </c>
      <c r="J95" s="37"/>
      <c r="K95" s="75">
        <v>46067</v>
      </c>
      <c r="L95" s="37"/>
      <c r="M95" s="75">
        <v>46079</v>
      </c>
      <c r="N95" s="76"/>
    </row>
    <row r="96" spans="1:14" x14ac:dyDescent="0.25">
      <c r="A96" s="4">
        <v>93</v>
      </c>
      <c r="B96" s="4" t="s">
        <v>510</v>
      </c>
      <c r="C96" s="4" t="s">
        <v>542</v>
      </c>
      <c r="D96" s="4" t="s">
        <v>479</v>
      </c>
      <c r="E96" s="69">
        <v>45359</v>
      </c>
      <c r="F96" s="4"/>
      <c r="G96" s="4" t="s">
        <v>275</v>
      </c>
      <c r="H96" s="4"/>
      <c r="I96" s="69">
        <v>45911</v>
      </c>
      <c r="J96" s="4"/>
      <c r="K96" s="69">
        <v>46276</v>
      </c>
      <c r="L96" s="4"/>
      <c r="M96" s="4"/>
      <c r="N96" s="4"/>
    </row>
    <row r="97" spans="1:14" x14ac:dyDescent="0.25">
      <c r="A97" s="4">
        <v>94</v>
      </c>
      <c r="B97" s="88" t="s">
        <v>510</v>
      </c>
      <c r="C97" s="88" t="s">
        <v>543</v>
      </c>
      <c r="D97" s="88" t="s">
        <v>479</v>
      </c>
      <c r="E97" s="89">
        <v>45359</v>
      </c>
      <c r="F97" s="88"/>
      <c r="G97" s="88" t="s">
        <v>275</v>
      </c>
      <c r="H97" s="88"/>
      <c r="I97" s="89">
        <v>45904</v>
      </c>
      <c r="J97" s="88"/>
      <c r="K97" s="69">
        <v>46269</v>
      </c>
      <c r="L97" s="4"/>
      <c r="M97" s="4"/>
      <c r="N97" s="4"/>
    </row>
    <row r="98" spans="1:14" x14ac:dyDescent="0.25">
      <c r="A98" s="4">
        <v>95</v>
      </c>
      <c r="B98" s="4" t="s">
        <v>510</v>
      </c>
      <c r="C98" s="4" t="s">
        <v>544</v>
      </c>
      <c r="D98" s="4" t="s">
        <v>398</v>
      </c>
      <c r="E98" s="69">
        <v>45359</v>
      </c>
      <c r="F98" s="4"/>
      <c r="G98" s="4" t="s">
        <v>275</v>
      </c>
      <c r="H98" s="4"/>
      <c r="I98" s="69">
        <v>45724</v>
      </c>
      <c r="J98" s="4"/>
      <c r="K98" s="69">
        <v>46089</v>
      </c>
      <c r="L98" s="4"/>
      <c r="M98" s="69">
        <v>46090</v>
      </c>
      <c r="N98" s="4"/>
    </row>
    <row r="99" spans="1:14" x14ac:dyDescent="0.25">
      <c r="A99" s="4">
        <v>96</v>
      </c>
      <c r="B99" s="90" t="s">
        <v>510</v>
      </c>
      <c r="C99" s="90" t="s">
        <v>545</v>
      </c>
      <c r="D99" s="90" t="s">
        <v>398</v>
      </c>
      <c r="E99" s="91">
        <v>45359</v>
      </c>
      <c r="F99" s="90"/>
      <c r="G99" s="90" t="s">
        <v>275</v>
      </c>
      <c r="H99" s="90"/>
      <c r="I99" s="91">
        <v>45674</v>
      </c>
      <c r="J99" s="90"/>
      <c r="K99" s="75">
        <v>46060</v>
      </c>
      <c r="L99" s="37"/>
      <c r="M99" s="75">
        <v>46083</v>
      </c>
      <c r="N99" s="76"/>
    </row>
    <row r="100" spans="1:14" x14ac:dyDescent="0.25">
      <c r="A100" s="4">
        <v>97</v>
      </c>
      <c r="B100" s="37" t="s">
        <v>470</v>
      </c>
      <c r="C100" s="37" t="s">
        <v>546</v>
      </c>
      <c r="D100" s="37" t="s">
        <v>398</v>
      </c>
      <c r="E100" s="75">
        <v>45359</v>
      </c>
      <c r="F100" s="37"/>
      <c r="G100" s="37" t="s">
        <v>275</v>
      </c>
      <c r="H100" s="37"/>
      <c r="I100" s="75">
        <v>45677</v>
      </c>
      <c r="J100" s="37"/>
      <c r="K100" s="75">
        <v>46073</v>
      </c>
      <c r="L100" s="37"/>
      <c r="M100" s="75">
        <v>46084</v>
      </c>
      <c r="N100" s="76"/>
    </row>
    <row r="101" spans="1:14" x14ac:dyDescent="0.25">
      <c r="A101" s="4">
        <v>98</v>
      </c>
      <c r="B101" s="37" t="s">
        <v>470</v>
      </c>
      <c r="C101" s="37" t="s">
        <v>547</v>
      </c>
      <c r="D101" s="37" t="s">
        <v>398</v>
      </c>
      <c r="E101" s="75">
        <v>45359</v>
      </c>
      <c r="F101" s="37"/>
      <c r="G101" s="37" t="s">
        <v>275</v>
      </c>
      <c r="H101" s="37"/>
      <c r="I101" s="75">
        <v>45672</v>
      </c>
      <c r="J101" s="37"/>
      <c r="K101" s="75">
        <v>46068</v>
      </c>
      <c r="L101" s="37"/>
      <c r="M101" s="75">
        <v>46080</v>
      </c>
      <c r="N101" s="76"/>
    </row>
    <row r="102" spans="1:14" x14ac:dyDescent="0.25">
      <c r="A102" s="4">
        <v>99</v>
      </c>
      <c r="B102" s="84" t="s">
        <v>495</v>
      </c>
      <c r="C102" s="4" t="s">
        <v>548</v>
      </c>
      <c r="D102" s="4" t="s">
        <v>478</v>
      </c>
      <c r="E102" s="69">
        <v>45359</v>
      </c>
      <c r="F102" s="4"/>
      <c r="G102" s="84" t="s">
        <v>275</v>
      </c>
      <c r="H102" s="84"/>
      <c r="I102" s="69">
        <v>45724</v>
      </c>
      <c r="J102" s="4"/>
      <c r="K102" s="69">
        <v>46089</v>
      </c>
      <c r="L102" s="4"/>
      <c r="M102" s="69">
        <v>46090</v>
      </c>
      <c r="N102" s="4"/>
    </row>
    <row r="103" spans="1:14" x14ac:dyDescent="0.25">
      <c r="A103" s="4">
        <v>100</v>
      </c>
      <c r="B103" s="4" t="s">
        <v>470</v>
      </c>
      <c r="C103" s="4" t="s">
        <v>176</v>
      </c>
      <c r="D103" s="4" t="s">
        <v>549</v>
      </c>
      <c r="E103" s="69">
        <v>45362</v>
      </c>
      <c r="F103" s="4"/>
      <c r="G103" s="4" t="s">
        <v>275</v>
      </c>
      <c r="H103" s="4"/>
      <c r="I103" s="69">
        <v>45925</v>
      </c>
      <c r="J103" s="4"/>
      <c r="K103" s="69">
        <v>46290</v>
      </c>
      <c r="L103" s="4"/>
      <c r="M103" s="4"/>
      <c r="N103" s="4"/>
    </row>
    <row r="104" spans="1:14" x14ac:dyDescent="0.25">
      <c r="A104" s="4">
        <v>101</v>
      </c>
      <c r="B104" s="37" t="s">
        <v>510</v>
      </c>
      <c r="C104" s="37" t="s">
        <v>550</v>
      </c>
      <c r="D104" s="37" t="s">
        <v>398</v>
      </c>
      <c r="E104" s="75">
        <v>45362</v>
      </c>
      <c r="F104" s="37"/>
      <c r="G104" s="37" t="s">
        <v>275</v>
      </c>
      <c r="H104" s="37"/>
      <c r="I104" s="75">
        <v>45677</v>
      </c>
      <c r="J104" s="37"/>
      <c r="K104" s="75">
        <v>46073</v>
      </c>
      <c r="L104" s="37"/>
      <c r="M104" s="75">
        <v>46084</v>
      </c>
      <c r="N104" s="76"/>
    </row>
    <row r="105" spans="1:14" x14ac:dyDescent="0.25">
      <c r="A105" s="4">
        <v>102</v>
      </c>
      <c r="B105" s="37" t="s">
        <v>495</v>
      </c>
      <c r="C105" s="37" t="s">
        <v>551</v>
      </c>
      <c r="D105" s="37" t="s">
        <v>398</v>
      </c>
      <c r="E105" s="75">
        <v>45362</v>
      </c>
      <c r="F105" s="37"/>
      <c r="G105" s="37" t="s">
        <v>275</v>
      </c>
      <c r="H105" s="37"/>
      <c r="I105" s="75">
        <v>45671</v>
      </c>
      <c r="J105" s="37"/>
      <c r="K105" s="75">
        <v>46067</v>
      </c>
      <c r="L105" s="37"/>
      <c r="M105" s="75">
        <v>46079</v>
      </c>
      <c r="N105" s="76"/>
    </row>
    <row r="106" spans="1:14" x14ac:dyDescent="0.25">
      <c r="A106" s="4">
        <v>103</v>
      </c>
      <c r="B106" s="37" t="s">
        <v>470</v>
      </c>
      <c r="C106" s="37" t="s">
        <v>552</v>
      </c>
      <c r="D106" s="37" t="s">
        <v>398</v>
      </c>
      <c r="E106" s="75">
        <v>45362</v>
      </c>
      <c r="F106" s="37"/>
      <c r="G106" s="37" t="s">
        <v>275</v>
      </c>
      <c r="H106" s="37"/>
      <c r="I106" s="75">
        <v>45670</v>
      </c>
      <c r="J106" s="37"/>
      <c r="K106" s="75">
        <v>46066</v>
      </c>
      <c r="L106" s="37"/>
      <c r="M106" s="75">
        <v>46080</v>
      </c>
      <c r="N106" s="76"/>
    </row>
    <row r="107" spans="1:14" x14ac:dyDescent="0.25">
      <c r="A107" s="4">
        <v>104</v>
      </c>
      <c r="B107" s="37" t="s">
        <v>470</v>
      </c>
      <c r="C107" s="37" t="s">
        <v>553</v>
      </c>
      <c r="D107" s="37" t="s">
        <v>398</v>
      </c>
      <c r="E107" s="75">
        <v>45362</v>
      </c>
      <c r="F107" s="37"/>
      <c r="G107" s="37" t="s">
        <v>275</v>
      </c>
      <c r="H107" s="37"/>
      <c r="I107" s="75">
        <v>45674</v>
      </c>
      <c r="J107" s="37"/>
      <c r="K107" s="75">
        <v>46070</v>
      </c>
      <c r="L107" s="37"/>
      <c r="M107" s="75">
        <v>46072</v>
      </c>
      <c r="N107" s="76"/>
    </row>
    <row r="108" spans="1:14" x14ac:dyDescent="0.25">
      <c r="A108" s="4">
        <v>105</v>
      </c>
      <c r="B108" s="4" t="s">
        <v>470</v>
      </c>
      <c r="C108" s="4" t="s">
        <v>554</v>
      </c>
      <c r="D108" s="4" t="s">
        <v>396</v>
      </c>
      <c r="E108" s="69">
        <v>45362</v>
      </c>
      <c r="F108" s="4"/>
      <c r="G108" s="4" t="s">
        <v>275</v>
      </c>
      <c r="H108" s="4"/>
      <c r="I108" s="69">
        <v>45727</v>
      </c>
      <c r="J108" s="4"/>
      <c r="K108" s="69">
        <v>46092</v>
      </c>
      <c r="L108" s="4"/>
      <c r="M108" s="69">
        <v>46092</v>
      </c>
      <c r="N108" s="4"/>
    </row>
    <row r="109" spans="1:14" x14ac:dyDescent="0.25">
      <c r="A109" s="4">
        <v>106</v>
      </c>
      <c r="B109" s="37" t="s">
        <v>470</v>
      </c>
      <c r="C109" s="37" t="s">
        <v>555</v>
      </c>
      <c r="D109" s="37" t="s">
        <v>398</v>
      </c>
      <c r="E109" s="75">
        <v>45363</v>
      </c>
      <c r="F109" s="37"/>
      <c r="G109" s="37" t="s">
        <v>275</v>
      </c>
      <c r="H109" s="37"/>
      <c r="I109" s="75">
        <v>45674</v>
      </c>
      <c r="J109" s="37"/>
      <c r="K109" s="75">
        <v>46070</v>
      </c>
      <c r="L109" s="37"/>
      <c r="M109" s="75">
        <v>46072</v>
      </c>
      <c r="N109" s="76"/>
    </row>
    <row r="110" spans="1:14" x14ac:dyDescent="0.25">
      <c r="A110" s="4">
        <v>107</v>
      </c>
      <c r="B110" s="4" t="s">
        <v>140</v>
      </c>
      <c r="C110" s="4" t="s">
        <v>280</v>
      </c>
      <c r="D110" s="4" t="s">
        <v>556</v>
      </c>
      <c r="E110" s="69">
        <v>45363</v>
      </c>
      <c r="F110" s="4"/>
      <c r="G110" s="4" t="s">
        <v>275</v>
      </c>
      <c r="H110" s="4"/>
      <c r="I110" s="69">
        <v>45728</v>
      </c>
      <c r="J110" s="4"/>
      <c r="K110" s="69">
        <v>46093</v>
      </c>
      <c r="L110" s="4"/>
      <c r="M110" s="69">
        <v>46093</v>
      </c>
      <c r="N110" s="4"/>
    </row>
    <row r="111" spans="1:14" x14ac:dyDescent="0.25">
      <c r="A111" s="4">
        <v>108</v>
      </c>
      <c r="B111" s="4" t="s">
        <v>470</v>
      </c>
      <c r="C111" s="4" t="s">
        <v>557</v>
      </c>
      <c r="D111" s="4" t="s">
        <v>351</v>
      </c>
      <c r="E111" s="69">
        <v>45363</v>
      </c>
      <c r="F111" s="4"/>
      <c r="G111" s="4" t="s">
        <v>275</v>
      </c>
      <c r="H111" s="4"/>
      <c r="I111" s="69">
        <v>45923</v>
      </c>
      <c r="J111" s="4"/>
      <c r="K111" s="69">
        <v>46288</v>
      </c>
      <c r="L111" s="4"/>
      <c r="M111" s="4"/>
      <c r="N111" s="4"/>
    </row>
    <row r="112" spans="1:14" x14ac:dyDescent="0.25">
      <c r="A112" s="4">
        <v>109</v>
      </c>
      <c r="B112" s="4" t="s">
        <v>140</v>
      </c>
      <c r="C112" s="4" t="s">
        <v>558</v>
      </c>
      <c r="D112" s="4" t="s">
        <v>398</v>
      </c>
      <c r="E112" s="69">
        <v>45363</v>
      </c>
      <c r="F112" s="4"/>
      <c r="G112" s="4" t="s">
        <v>275</v>
      </c>
      <c r="H112" s="4"/>
      <c r="I112" s="69">
        <v>45728</v>
      </c>
      <c r="J112" s="4"/>
      <c r="K112" s="69">
        <v>46093</v>
      </c>
      <c r="L112" s="4"/>
      <c r="M112" s="69">
        <v>46093</v>
      </c>
      <c r="N112" s="4"/>
    </row>
    <row r="113" spans="1:14" x14ac:dyDescent="0.25">
      <c r="A113" s="4">
        <v>110</v>
      </c>
      <c r="B113" s="4" t="s">
        <v>140</v>
      </c>
      <c r="C113" s="4" t="s">
        <v>199</v>
      </c>
      <c r="D113" s="4" t="s">
        <v>351</v>
      </c>
      <c r="E113" s="69">
        <v>45364</v>
      </c>
      <c r="F113" s="4"/>
      <c r="G113" s="4" t="s">
        <v>275</v>
      </c>
      <c r="H113" s="4"/>
      <c r="I113" s="69">
        <v>45829</v>
      </c>
      <c r="J113" s="4"/>
      <c r="K113" s="69">
        <v>46194</v>
      </c>
      <c r="L113" s="4"/>
      <c r="M113" s="4"/>
      <c r="N113" s="4"/>
    </row>
    <row r="114" spans="1:14" x14ac:dyDescent="0.25">
      <c r="A114" s="4">
        <v>111</v>
      </c>
      <c r="B114" s="4" t="s">
        <v>470</v>
      </c>
      <c r="C114" s="4" t="s">
        <v>559</v>
      </c>
      <c r="D114" s="4" t="s">
        <v>257</v>
      </c>
      <c r="E114" s="69">
        <v>45364</v>
      </c>
      <c r="F114" s="4"/>
      <c r="G114" s="4" t="s">
        <v>275</v>
      </c>
      <c r="H114" s="4"/>
      <c r="I114" s="69">
        <v>46006</v>
      </c>
      <c r="J114" s="4"/>
      <c r="K114" s="69">
        <v>46371</v>
      </c>
      <c r="L114" s="4"/>
      <c r="M114" s="4"/>
      <c r="N114" s="4"/>
    </row>
    <row r="115" spans="1:14" x14ac:dyDescent="0.25">
      <c r="A115" s="4">
        <v>112</v>
      </c>
      <c r="B115" s="4" t="s">
        <v>470</v>
      </c>
      <c r="C115" s="4" t="s">
        <v>560</v>
      </c>
      <c r="D115" s="4" t="s">
        <v>561</v>
      </c>
      <c r="E115" s="69">
        <v>45364</v>
      </c>
      <c r="F115" s="4"/>
      <c r="G115" s="4" t="s">
        <v>275</v>
      </c>
      <c r="H115" s="4"/>
      <c r="I115" s="69">
        <v>45967</v>
      </c>
      <c r="J115" s="4"/>
      <c r="K115" s="69">
        <v>46332</v>
      </c>
      <c r="L115" s="4"/>
      <c r="M115" s="4"/>
      <c r="N115" s="4"/>
    </row>
    <row r="116" spans="1:14" x14ac:dyDescent="0.25">
      <c r="A116" s="4">
        <v>113</v>
      </c>
      <c r="B116" s="37" t="s">
        <v>470</v>
      </c>
      <c r="C116" s="37" t="s">
        <v>562</v>
      </c>
      <c r="D116" s="37" t="s">
        <v>398</v>
      </c>
      <c r="E116" s="75">
        <v>45364</v>
      </c>
      <c r="F116" s="37"/>
      <c r="G116" s="37" t="s">
        <v>275</v>
      </c>
      <c r="H116" s="37"/>
      <c r="I116" s="75">
        <v>45677</v>
      </c>
      <c r="J116" s="37"/>
      <c r="K116" s="75">
        <v>46073</v>
      </c>
      <c r="L116" s="37"/>
      <c r="M116" s="75">
        <v>46084</v>
      </c>
      <c r="N116" s="76"/>
    </row>
    <row r="117" spans="1:14" x14ac:dyDescent="0.25">
      <c r="A117" s="4">
        <v>114</v>
      </c>
      <c r="B117" s="4" t="s">
        <v>510</v>
      </c>
      <c r="C117" s="4" t="s">
        <v>563</v>
      </c>
      <c r="D117" s="4" t="s">
        <v>564</v>
      </c>
      <c r="E117" s="69">
        <v>45364</v>
      </c>
      <c r="F117" s="4"/>
      <c r="G117" s="4" t="s">
        <v>275</v>
      </c>
      <c r="H117" s="4"/>
      <c r="I117" s="69">
        <v>45729</v>
      </c>
      <c r="J117" s="4"/>
      <c r="K117" s="69">
        <v>46094</v>
      </c>
      <c r="L117" s="4"/>
      <c r="M117" s="69">
        <v>46094</v>
      </c>
      <c r="N117" s="4"/>
    </row>
    <row r="118" spans="1:14" x14ac:dyDescent="0.25">
      <c r="A118" s="4">
        <v>115</v>
      </c>
      <c r="B118" s="4" t="s">
        <v>140</v>
      </c>
      <c r="C118" s="4" t="s">
        <v>354</v>
      </c>
      <c r="D118" s="4" t="s">
        <v>479</v>
      </c>
      <c r="E118" s="69">
        <v>45364</v>
      </c>
      <c r="F118" s="4"/>
      <c r="G118" s="4" t="s">
        <v>275</v>
      </c>
      <c r="H118" s="4"/>
      <c r="I118" s="69">
        <v>45729</v>
      </c>
      <c r="J118" s="4"/>
      <c r="K118" s="69">
        <v>46094</v>
      </c>
      <c r="L118" s="4"/>
      <c r="M118" s="69">
        <v>46094</v>
      </c>
      <c r="N118" s="4"/>
    </row>
    <row r="119" spans="1:14" ht="15.75" x14ac:dyDescent="0.25">
      <c r="A119" s="4">
        <v>116</v>
      </c>
      <c r="B119" s="4" t="s">
        <v>140</v>
      </c>
      <c r="C119" s="85" t="s">
        <v>565</v>
      </c>
      <c r="D119" s="4" t="s">
        <v>286</v>
      </c>
      <c r="E119" s="69">
        <v>45778</v>
      </c>
      <c r="F119" s="4"/>
      <c r="G119" s="4" t="s">
        <v>275</v>
      </c>
      <c r="H119" s="4"/>
      <c r="I119" s="4" t="s">
        <v>275</v>
      </c>
      <c r="J119" s="4"/>
      <c r="K119" s="69">
        <v>46143</v>
      </c>
      <c r="L119" s="4"/>
      <c r="M119" s="4"/>
      <c r="N119" s="4"/>
    </row>
    <row r="120" spans="1:14" x14ac:dyDescent="0.25">
      <c r="A120" s="4">
        <v>117</v>
      </c>
      <c r="B120" s="4" t="s">
        <v>470</v>
      </c>
      <c r="C120" s="4" t="s">
        <v>566</v>
      </c>
      <c r="D120" s="4" t="s">
        <v>267</v>
      </c>
      <c r="E120" s="69">
        <v>45364</v>
      </c>
      <c r="F120" s="4"/>
      <c r="G120" s="4" t="s">
        <v>275</v>
      </c>
      <c r="H120" s="4"/>
      <c r="I120" s="69">
        <v>46006</v>
      </c>
      <c r="J120" s="4"/>
      <c r="K120" s="69">
        <v>46371</v>
      </c>
      <c r="L120" s="4"/>
      <c r="M120" s="4"/>
      <c r="N120" s="4"/>
    </row>
    <row r="121" spans="1:14" x14ac:dyDescent="0.25">
      <c r="A121" s="4">
        <v>118</v>
      </c>
      <c r="B121" s="88" t="s">
        <v>470</v>
      </c>
      <c r="C121" s="88" t="s">
        <v>567</v>
      </c>
      <c r="D121" s="88" t="s">
        <v>257</v>
      </c>
      <c r="E121" s="89">
        <v>45365</v>
      </c>
      <c r="F121" s="88"/>
      <c r="G121" s="88" t="s">
        <v>275</v>
      </c>
      <c r="H121" s="88"/>
      <c r="I121" s="89">
        <v>45860</v>
      </c>
      <c r="J121" s="88"/>
      <c r="K121" s="89">
        <v>46225</v>
      </c>
      <c r="L121" s="88"/>
      <c r="M121" s="88"/>
      <c r="N121" s="88"/>
    </row>
    <row r="122" spans="1:14" x14ac:dyDescent="0.25">
      <c r="A122" s="4">
        <v>119</v>
      </c>
      <c r="B122" s="4" t="s">
        <v>510</v>
      </c>
      <c r="C122" s="4" t="s">
        <v>568</v>
      </c>
      <c r="D122" s="4" t="s">
        <v>257</v>
      </c>
      <c r="E122" s="69">
        <v>45365</v>
      </c>
      <c r="F122" s="4"/>
      <c r="G122" s="4" t="s">
        <v>275</v>
      </c>
      <c r="H122" s="4"/>
      <c r="I122" s="69">
        <v>45730</v>
      </c>
      <c r="J122" s="4"/>
      <c r="K122" s="69">
        <v>46095</v>
      </c>
      <c r="L122" s="4"/>
      <c r="M122" s="69">
        <v>46097</v>
      </c>
      <c r="N122" s="4"/>
    </row>
    <row r="123" spans="1:14" x14ac:dyDescent="0.25">
      <c r="A123" s="4">
        <v>120</v>
      </c>
      <c r="B123" s="92" t="s">
        <v>510</v>
      </c>
      <c r="C123" s="92" t="s">
        <v>569</v>
      </c>
      <c r="D123" s="92" t="s">
        <v>281</v>
      </c>
      <c r="E123" s="93">
        <v>45365</v>
      </c>
      <c r="F123" s="92"/>
      <c r="G123" s="92" t="s">
        <v>275</v>
      </c>
      <c r="H123" s="92"/>
      <c r="I123" s="93">
        <v>45730</v>
      </c>
      <c r="J123" s="92"/>
      <c r="K123" s="93">
        <v>46095</v>
      </c>
      <c r="L123" s="92"/>
      <c r="M123" s="69">
        <v>46097</v>
      </c>
      <c r="N123" s="92"/>
    </row>
    <row r="124" spans="1:14" x14ac:dyDescent="0.25">
      <c r="A124" s="4">
        <v>121</v>
      </c>
      <c r="B124" s="4" t="s">
        <v>495</v>
      </c>
      <c r="C124" s="4" t="s">
        <v>570</v>
      </c>
      <c r="D124" s="4" t="s">
        <v>561</v>
      </c>
      <c r="E124" s="69">
        <v>45365</v>
      </c>
      <c r="F124" s="4"/>
      <c r="G124" s="4" t="s">
        <v>275</v>
      </c>
      <c r="H124" s="4"/>
      <c r="I124" s="69">
        <v>45730</v>
      </c>
      <c r="J124" s="4"/>
      <c r="K124" s="69">
        <v>46095</v>
      </c>
      <c r="L124" s="4"/>
      <c r="M124" s="69">
        <v>46097</v>
      </c>
      <c r="N124" s="4"/>
    </row>
    <row r="125" spans="1:14" x14ac:dyDescent="0.25">
      <c r="A125" s="4">
        <v>122</v>
      </c>
      <c r="B125" s="4" t="s">
        <v>510</v>
      </c>
      <c r="C125" s="4" t="s">
        <v>571</v>
      </c>
      <c r="D125" s="4" t="s">
        <v>564</v>
      </c>
      <c r="E125" s="69">
        <v>45365</v>
      </c>
      <c r="F125" s="4"/>
      <c r="G125" s="4" t="s">
        <v>275</v>
      </c>
      <c r="H125" s="4"/>
      <c r="I125" s="69">
        <v>45730</v>
      </c>
      <c r="J125" s="4"/>
      <c r="K125" s="69">
        <v>46095</v>
      </c>
      <c r="L125" s="4"/>
      <c r="M125" s="69">
        <v>46097</v>
      </c>
      <c r="N125" s="4"/>
    </row>
    <row r="126" spans="1:14" x14ac:dyDescent="0.25">
      <c r="A126" s="4">
        <v>123</v>
      </c>
      <c r="B126" s="88" t="s">
        <v>140</v>
      </c>
      <c r="C126" s="88" t="s">
        <v>236</v>
      </c>
      <c r="D126" s="88" t="s">
        <v>235</v>
      </c>
      <c r="E126" s="89">
        <v>45366</v>
      </c>
      <c r="F126" s="88"/>
      <c r="G126" s="88" t="s">
        <v>275</v>
      </c>
      <c r="H126" s="88"/>
      <c r="I126" s="89">
        <v>45857</v>
      </c>
      <c r="J126" s="88"/>
      <c r="K126" s="89">
        <v>46222</v>
      </c>
      <c r="L126" s="88"/>
      <c r="M126" s="88"/>
      <c r="N126" s="88"/>
    </row>
    <row r="127" spans="1:14" x14ac:dyDescent="0.25">
      <c r="A127" s="4">
        <v>124</v>
      </c>
      <c r="B127" s="4" t="s">
        <v>140</v>
      </c>
      <c r="C127" s="4" t="s">
        <v>258</v>
      </c>
      <c r="D127" s="4" t="s">
        <v>257</v>
      </c>
      <c r="E127" s="69">
        <v>45366</v>
      </c>
      <c r="F127" s="4"/>
      <c r="G127" s="4" t="s">
        <v>275</v>
      </c>
      <c r="H127" s="4"/>
      <c r="I127" s="69">
        <v>45947</v>
      </c>
      <c r="J127" s="4"/>
      <c r="K127" s="69">
        <v>46312</v>
      </c>
      <c r="L127" s="4"/>
      <c r="M127" s="4"/>
      <c r="N127" s="4"/>
    </row>
    <row r="128" spans="1:14" x14ac:dyDescent="0.25">
      <c r="A128" s="4">
        <v>125</v>
      </c>
      <c r="B128" s="92" t="s">
        <v>140</v>
      </c>
      <c r="C128" s="92" t="s">
        <v>572</v>
      </c>
      <c r="D128" s="92" t="s">
        <v>573</v>
      </c>
      <c r="E128" s="93">
        <v>45366</v>
      </c>
      <c r="F128" s="92"/>
      <c r="G128" s="92" t="s">
        <v>275</v>
      </c>
      <c r="H128" s="92"/>
      <c r="I128" s="93">
        <v>45731</v>
      </c>
      <c r="J128" s="92"/>
      <c r="K128" s="93">
        <v>46096</v>
      </c>
      <c r="L128" s="92"/>
      <c r="M128" s="93">
        <v>46098</v>
      </c>
      <c r="N128" s="92"/>
    </row>
    <row r="129" spans="1:14" x14ac:dyDescent="0.25">
      <c r="A129" s="4">
        <v>126</v>
      </c>
      <c r="B129" s="4" t="s">
        <v>140</v>
      </c>
      <c r="C129" s="4" t="s">
        <v>574</v>
      </c>
      <c r="D129" s="4" t="s">
        <v>344</v>
      </c>
      <c r="E129" s="69">
        <v>45366</v>
      </c>
      <c r="F129" s="4"/>
      <c r="G129" s="4" t="s">
        <v>275</v>
      </c>
      <c r="H129" s="4"/>
      <c r="I129" s="69">
        <v>45731</v>
      </c>
      <c r="J129" s="4"/>
      <c r="K129" s="69">
        <v>46096</v>
      </c>
      <c r="L129" s="92"/>
      <c r="M129" s="93">
        <v>46098</v>
      </c>
      <c r="N129" s="4"/>
    </row>
    <row r="130" spans="1:14" x14ac:dyDescent="0.25">
      <c r="A130" s="4">
        <v>127</v>
      </c>
      <c r="B130" s="4" t="s">
        <v>140</v>
      </c>
      <c r="C130" s="4" t="s">
        <v>575</v>
      </c>
      <c r="D130" s="4" t="s">
        <v>359</v>
      </c>
      <c r="E130" s="69">
        <v>45369</v>
      </c>
      <c r="F130" s="4"/>
      <c r="G130" s="4" t="s">
        <v>275</v>
      </c>
      <c r="H130" s="4"/>
      <c r="I130" s="69">
        <v>45790</v>
      </c>
      <c r="J130" s="4"/>
      <c r="K130" s="69">
        <v>46155</v>
      </c>
      <c r="L130" s="4"/>
      <c r="M130" s="4"/>
      <c r="N130" s="4"/>
    </row>
    <row r="131" spans="1:14" x14ac:dyDescent="0.25">
      <c r="A131" s="4">
        <v>128</v>
      </c>
      <c r="B131" s="37" t="s">
        <v>140</v>
      </c>
      <c r="C131" s="37" t="s">
        <v>576</v>
      </c>
      <c r="D131" s="37" t="s">
        <v>437</v>
      </c>
      <c r="E131" s="75">
        <v>45369</v>
      </c>
      <c r="F131" s="37"/>
      <c r="G131" s="37" t="s">
        <v>275</v>
      </c>
      <c r="H131" s="37"/>
      <c r="I131" s="75">
        <v>45734</v>
      </c>
      <c r="J131" s="37"/>
      <c r="K131" s="75">
        <v>46065</v>
      </c>
      <c r="L131" s="37"/>
      <c r="M131" s="75">
        <v>46065</v>
      </c>
      <c r="N131" s="76"/>
    </row>
    <row r="132" spans="1:14" x14ac:dyDescent="0.25">
      <c r="A132" s="4">
        <v>129</v>
      </c>
      <c r="B132" s="4" t="s">
        <v>510</v>
      </c>
      <c r="C132" s="4" t="s">
        <v>577</v>
      </c>
      <c r="D132" s="4" t="s">
        <v>578</v>
      </c>
      <c r="E132" s="69">
        <v>45370</v>
      </c>
      <c r="F132" s="4"/>
      <c r="G132" s="4" t="s">
        <v>275</v>
      </c>
      <c r="H132" s="4"/>
      <c r="I132" s="69">
        <v>45861</v>
      </c>
      <c r="J132" s="4"/>
      <c r="K132" s="69">
        <v>46226</v>
      </c>
      <c r="L132" s="4"/>
      <c r="M132" s="4"/>
      <c r="N132" s="4"/>
    </row>
    <row r="133" spans="1:14" x14ac:dyDescent="0.25">
      <c r="A133" s="4">
        <v>130</v>
      </c>
      <c r="B133" s="4" t="s">
        <v>140</v>
      </c>
      <c r="C133" s="4" t="s">
        <v>579</v>
      </c>
      <c r="D133" s="4" t="s">
        <v>366</v>
      </c>
      <c r="E133" s="69">
        <v>45371</v>
      </c>
      <c r="F133" s="4"/>
      <c r="G133" s="4" t="s">
        <v>275</v>
      </c>
      <c r="H133" s="4"/>
      <c r="I133" s="69">
        <v>45736</v>
      </c>
      <c r="J133" s="4"/>
      <c r="K133" s="69">
        <v>46101</v>
      </c>
      <c r="L133" s="4"/>
      <c r="M133" s="69">
        <v>46101</v>
      </c>
      <c r="N133" s="4"/>
    </row>
    <row r="134" spans="1:14" x14ac:dyDescent="0.25">
      <c r="A134" s="4">
        <v>131</v>
      </c>
      <c r="B134" s="4" t="s">
        <v>140</v>
      </c>
      <c r="C134" s="4" t="s">
        <v>239</v>
      </c>
      <c r="D134" s="4" t="s">
        <v>556</v>
      </c>
      <c r="E134" s="69">
        <v>45372</v>
      </c>
      <c r="F134" s="4"/>
      <c r="G134" s="4" t="s">
        <v>275</v>
      </c>
      <c r="H134" s="4"/>
      <c r="I134" s="69">
        <v>45934</v>
      </c>
      <c r="J134" s="4"/>
      <c r="K134" s="69">
        <v>46309</v>
      </c>
      <c r="L134" s="4"/>
      <c r="M134" s="4"/>
      <c r="N134" s="4"/>
    </row>
    <row r="135" spans="1:14" x14ac:dyDescent="0.25">
      <c r="A135" s="4">
        <v>132</v>
      </c>
      <c r="B135" s="4" t="s">
        <v>470</v>
      </c>
      <c r="C135" s="4" t="s">
        <v>580</v>
      </c>
      <c r="D135" s="4" t="s">
        <v>581</v>
      </c>
      <c r="E135" s="69">
        <v>45373</v>
      </c>
      <c r="F135" s="4"/>
      <c r="G135" s="4" t="s">
        <v>275</v>
      </c>
      <c r="H135" s="4"/>
      <c r="I135" s="69">
        <v>45883</v>
      </c>
      <c r="J135" s="4"/>
      <c r="K135" s="69">
        <v>46248</v>
      </c>
      <c r="L135" s="4"/>
      <c r="M135" s="4"/>
      <c r="N135" s="4"/>
    </row>
    <row r="136" spans="1:14" x14ac:dyDescent="0.25">
      <c r="A136" s="4">
        <v>133</v>
      </c>
      <c r="B136" s="4" t="s">
        <v>140</v>
      </c>
      <c r="C136" s="4" t="s">
        <v>454</v>
      </c>
      <c r="D136" s="4" t="s">
        <v>582</v>
      </c>
      <c r="E136" s="69">
        <v>45375</v>
      </c>
      <c r="F136" s="4"/>
      <c r="G136" s="4" t="s">
        <v>275</v>
      </c>
      <c r="H136" s="4"/>
      <c r="I136" s="69">
        <v>45740</v>
      </c>
      <c r="J136" s="4"/>
      <c r="K136" s="69">
        <v>46105</v>
      </c>
      <c r="L136" s="4"/>
      <c r="M136" s="69">
        <v>46105</v>
      </c>
      <c r="N136" s="4"/>
    </row>
    <row r="137" spans="1:14" x14ac:dyDescent="0.25">
      <c r="A137" s="4">
        <v>134</v>
      </c>
      <c r="B137" s="4" t="s">
        <v>140</v>
      </c>
      <c r="C137" s="4" t="s">
        <v>198</v>
      </c>
      <c r="D137" s="4" t="s">
        <v>351</v>
      </c>
      <c r="E137" s="69">
        <v>45375</v>
      </c>
      <c r="F137" s="4"/>
      <c r="G137" s="4" t="s">
        <v>275</v>
      </c>
      <c r="H137" s="4"/>
      <c r="I137" s="69">
        <v>45924</v>
      </c>
      <c r="J137" s="4"/>
      <c r="K137" s="69">
        <v>46289</v>
      </c>
      <c r="L137" s="4"/>
      <c r="M137" s="4"/>
      <c r="N137" s="4"/>
    </row>
    <row r="138" spans="1:14" x14ac:dyDescent="0.25">
      <c r="A138" s="4">
        <v>135</v>
      </c>
      <c r="B138" s="4" t="s">
        <v>140</v>
      </c>
      <c r="C138" s="76" t="s">
        <v>446</v>
      </c>
      <c r="D138" s="4" t="s">
        <v>443</v>
      </c>
      <c r="E138" s="69">
        <v>45375</v>
      </c>
      <c r="F138" s="4"/>
      <c r="G138" s="4" t="s">
        <v>275</v>
      </c>
      <c r="H138" s="4"/>
      <c r="I138" s="69">
        <v>45740</v>
      </c>
      <c r="J138" s="4"/>
      <c r="K138" s="69">
        <v>46105</v>
      </c>
      <c r="L138" s="4"/>
      <c r="M138" s="69">
        <v>46105</v>
      </c>
      <c r="N138" s="4"/>
    </row>
    <row r="139" spans="1:14" x14ac:dyDescent="0.25">
      <c r="A139" s="4">
        <v>136</v>
      </c>
      <c r="B139" s="4" t="s">
        <v>140</v>
      </c>
      <c r="C139" s="4" t="s">
        <v>444</v>
      </c>
      <c r="D139" s="4" t="s">
        <v>581</v>
      </c>
      <c r="E139" s="69">
        <v>45376</v>
      </c>
      <c r="F139" s="4"/>
      <c r="G139" s="4" t="s">
        <v>275</v>
      </c>
      <c r="H139" s="4"/>
      <c r="I139" s="69">
        <v>45883</v>
      </c>
      <c r="J139" s="4"/>
      <c r="K139" s="69">
        <v>46248</v>
      </c>
      <c r="L139" s="4"/>
      <c r="M139" s="4"/>
      <c r="N139" s="4"/>
    </row>
    <row r="140" spans="1:14" x14ac:dyDescent="0.25">
      <c r="A140" s="4">
        <v>137</v>
      </c>
      <c r="B140" s="4" t="s">
        <v>140</v>
      </c>
      <c r="C140" s="4" t="s">
        <v>446</v>
      </c>
      <c r="D140" s="4" t="s">
        <v>581</v>
      </c>
      <c r="E140" s="69">
        <v>45377</v>
      </c>
      <c r="F140" s="4"/>
      <c r="G140" s="4" t="s">
        <v>275</v>
      </c>
      <c r="H140" s="4"/>
      <c r="I140" s="69">
        <v>45742</v>
      </c>
      <c r="J140" s="4"/>
      <c r="K140" s="69">
        <v>46107</v>
      </c>
      <c r="L140" s="4"/>
      <c r="M140" s="69">
        <v>46107</v>
      </c>
      <c r="N140" s="4"/>
    </row>
    <row r="141" spans="1:14" x14ac:dyDescent="0.25">
      <c r="A141" s="4">
        <v>138</v>
      </c>
      <c r="B141" s="4" t="s">
        <v>140</v>
      </c>
      <c r="C141" s="4" t="s">
        <v>283</v>
      </c>
      <c r="D141" s="4" t="s">
        <v>281</v>
      </c>
      <c r="E141" s="69">
        <v>45377</v>
      </c>
      <c r="F141" s="4"/>
      <c r="G141" s="4" t="s">
        <v>275</v>
      </c>
      <c r="H141" s="4"/>
      <c r="I141" s="69">
        <v>45742</v>
      </c>
      <c r="J141" s="4"/>
      <c r="K141" s="69">
        <v>46107</v>
      </c>
      <c r="L141" s="4"/>
      <c r="M141" s="69">
        <v>46107</v>
      </c>
      <c r="N141" s="4"/>
    </row>
    <row r="142" spans="1:14" x14ac:dyDescent="0.25">
      <c r="A142" s="4">
        <v>139</v>
      </c>
      <c r="B142" s="4" t="s">
        <v>140</v>
      </c>
      <c r="C142" s="4" t="s">
        <v>385</v>
      </c>
      <c r="D142" s="4" t="s">
        <v>556</v>
      </c>
      <c r="E142" s="69">
        <v>45378</v>
      </c>
      <c r="F142" s="4"/>
      <c r="G142" s="4" t="s">
        <v>275</v>
      </c>
      <c r="H142" s="4"/>
      <c r="I142" s="69">
        <v>45853</v>
      </c>
      <c r="J142" s="4"/>
      <c r="K142" s="69">
        <v>46218</v>
      </c>
      <c r="L142" s="4"/>
      <c r="M142" s="4"/>
      <c r="N142" s="4"/>
    </row>
    <row r="143" spans="1:14" x14ac:dyDescent="0.25">
      <c r="A143" s="4">
        <v>140</v>
      </c>
      <c r="B143" s="4" t="s">
        <v>140</v>
      </c>
      <c r="C143" s="4" t="s">
        <v>583</v>
      </c>
      <c r="D143" s="4" t="s">
        <v>556</v>
      </c>
      <c r="E143" s="69">
        <v>45378</v>
      </c>
      <c r="F143" s="4"/>
      <c r="G143" s="4" t="s">
        <v>275</v>
      </c>
      <c r="H143" s="4"/>
      <c r="I143" s="69">
        <v>45743</v>
      </c>
      <c r="J143" s="4"/>
      <c r="K143" s="69">
        <v>46108</v>
      </c>
      <c r="L143" s="4"/>
      <c r="M143" s="69">
        <v>46108</v>
      </c>
      <c r="N143" s="4"/>
    </row>
    <row r="144" spans="1:14" x14ac:dyDescent="0.25">
      <c r="A144" s="4">
        <v>141</v>
      </c>
      <c r="B144" s="88" t="s">
        <v>140</v>
      </c>
      <c r="C144" s="88" t="s">
        <v>584</v>
      </c>
      <c r="D144" s="88" t="s">
        <v>286</v>
      </c>
      <c r="E144" s="89">
        <v>45379</v>
      </c>
      <c r="F144" s="88"/>
      <c r="G144" s="88" t="s">
        <v>275</v>
      </c>
      <c r="H144" s="88"/>
      <c r="I144" s="89">
        <v>45810</v>
      </c>
      <c r="J144" s="88"/>
      <c r="K144" s="89">
        <v>46175</v>
      </c>
      <c r="L144" s="88"/>
      <c r="M144" s="88"/>
      <c r="N144" s="88"/>
    </row>
    <row r="145" spans="1:14" x14ac:dyDescent="0.25">
      <c r="A145" s="4">
        <v>142</v>
      </c>
      <c r="B145" s="4" t="s">
        <v>140</v>
      </c>
      <c r="C145" s="4" t="s">
        <v>585</v>
      </c>
      <c r="D145" s="4" t="s">
        <v>257</v>
      </c>
      <c r="E145" s="69">
        <v>45419</v>
      </c>
      <c r="F145" s="4"/>
      <c r="G145" s="4" t="s">
        <v>275</v>
      </c>
      <c r="H145" s="4"/>
      <c r="I145" s="69">
        <v>45784</v>
      </c>
      <c r="J145" s="4"/>
      <c r="K145" s="69">
        <v>46149</v>
      </c>
      <c r="L145" s="4"/>
      <c r="M145" s="4"/>
      <c r="N145" s="4"/>
    </row>
    <row r="146" spans="1:14" x14ac:dyDescent="0.25">
      <c r="A146" s="4">
        <v>143</v>
      </c>
      <c r="B146" s="92" t="s">
        <v>140</v>
      </c>
      <c r="C146" s="92" t="s">
        <v>586</v>
      </c>
      <c r="D146" s="92" t="s">
        <v>561</v>
      </c>
      <c r="E146" s="93">
        <v>45521</v>
      </c>
      <c r="F146" s="92"/>
      <c r="G146" s="92" t="s">
        <v>275</v>
      </c>
      <c r="H146" s="92"/>
      <c r="I146" s="93">
        <v>45968</v>
      </c>
      <c r="J146" s="92"/>
      <c r="K146" s="93">
        <v>46333</v>
      </c>
      <c r="L146" s="92"/>
      <c r="M146" s="92"/>
      <c r="N146" s="92"/>
    </row>
    <row r="147" spans="1:14" x14ac:dyDescent="0.25">
      <c r="A147" s="4">
        <v>144</v>
      </c>
      <c r="B147" s="4" t="s">
        <v>140</v>
      </c>
      <c r="C147" s="4" t="s">
        <v>338</v>
      </c>
      <c r="D147" s="4" t="s">
        <v>336</v>
      </c>
      <c r="E147" s="69">
        <v>45607</v>
      </c>
      <c r="F147" s="4"/>
      <c r="G147" s="4" t="s">
        <v>275</v>
      </c>
      <c r="H147" s="4"/>
      <c r="I147" s="69">
        <v>45972</v>
      </c>
      <c r="J147" s="4"/>
      <c r="K147" s="69">
        <v>46337</v>
      </c>
      <c r="L147" s="4"/>
      <c r="M147" s="4"/>
      <c r="N147" s="4"/>
    </row>
    <row r="148" spans="1:14" x14ac:dyDescent="0.25">
      <c r="A148" s="4">
        <v>145</v>
      </c>
      <c r="B148" s="4" t="s">
        <v>140</v>
      </c>
      <c r="C148" s="4" t="s">
        <v>587</v>
      </c>
      <c r="D148" s="4" t="s">
        <v>561</v>
      </c>
      <c r="E148" s="69">
        <v>45607</v>
      </c>
      <c r="F148" s="4"/>
      <c r="G148" s="4" t="s">
        <v>275</v>
      </c>
      <c r="H148" s="4"/>
      <c r="I148" s="69">
        <v>45967</v>
      </c>
      <c r="J148" s="4"/>
      <c r="K148" s="69">
        <v>46332</v>
      </c>
      <c r="L148" s="4"/>
      <c r="M148" s="4"/>
      <c r="N148" s="4"/>
    </row>
    <row r="149" spans="1:14" x14ac:dyDescent="0.25">
      <c r="A149" s="4">
        <v>146</v>
      </c>
      <c r="B149" s="4" t="s">
        <v>140</v>
      </c>
      <c r="C149" s="4" t="s">
        <v>360</v>
      </c>
      <c r="D149" s="4" t="s">
        <v>359</v>
      </c>
      <c r="E149" s="69">
        <v>45614</v>
      </c>
      <c r="F149" s="4"/>
      <c r="G149" s="4" t="s">
        <v>275</v>
      </c>
      <c r="H149" s="4"/>
      <c r="I149" s="69">
        <v>45936</v>
      </c>
      <c r="J149" s="4"/>
      <c r="K149" s="69">
        <v>46301</v>
      </c>
      <c r="L149" s="4"/>
      <c r="M149" s="4"/>
      <c r="N149" s="4"/>
    </row>
    <row r="150" spans="1:14" x14ac:dyDescent="0.25">
      <c r="A150" s="4">
        <v>147</v>
      </c>
      <c r="B150" s="37" t="s">
        <v>140</v>
      </c>
      <c r="C150" s="37" t="s">
        <v>427</v>
      </c>
      <c r="D150" s="37" t="s">
        <v>398</v>
      </c>
      <c r="E150" s="75">
        <v>45614</v>
      </c>
      <c r="F150" s="37"/>
      <c r="G150" s="37" t="s">
        <v>275</v>
      </c>
      <c r="H150" s="37"/>
      <c r="I150" s="75">
        <v>45671</v>
      </c>
      <c r="J150" s="37"/>
      <c r="K150" s="74">
        <v>46050</v>
      </c>
      <c r="L150" s="37"/>
      <c r="M150" s="74">
        <v>46050</v>
      </c>
      <c r="N150" s="76"/>
    </row>
    <row r="151" spans="1:14" x14ac:dyDescent="0.25">
      <c r="A151" s="4">
        <v>148</v>
      </c>
      <c r="B151" s="4" t="s">
        <v>140</v>
      </c>
      <c r="C151" s="4" t="s">
        <v>345</v>
      </c>
      <c r="D151" s="4" t="s">
        <v>344</v>
      </c>
      <c r="E151" s="69">
        <v>45616</v>
      </c>
      <c r="F151" s="4"/>
      <c r="G151" s="4" t="s">
        <v>275</v>
      </c>
      <c r="H151" s="4"/>
      <c r="I151" s="69">
        <v>45981</v>
      </c>
      <c r="J151" s="4"/>
      <c r="K151" s="69">
        <v>46346</v>
      </c>
      <c r="L151" s="4"/>
      <c r="M151" s="4"/>
      <c r="N151" s="4"/>
    </row>
    <row r="152" spans="1:14" x14ac:dyDescent="0.25">
      <c r="A152" s="4">
        <v>149</v>
      </c>
      <c r="B152" s="4" t="s">
        <v>140</v>
      </c>
      <c r="C152" s="4" t="s">
        <v>435</v>
      </c>
      <c r="D152" s="4" t="s">
        <v>573</v>
      </c>
      <c r="E152" s="69">
        <v>45616</v>
      </c>
      <c r="F152" s="4"/>
      <c r="G152" s="4" t="s">
        <v>275</v>
      </c>
      <c r="H152" s="4"/>
      <c r="I152" s="69">
        <v>45981</v>
      </c>
      <c r="J152" s="4"/>
      <c r="K152" s="69">
        <v>46346</v>
      </c>
      <c r="L152" s="4"/>
      <c r="M152" s="4"/>
      <c r="N152" s="4"/>
    </row>
    <row r="153" spans="1:14" x14ac:dyDescent="0.25">
      <c r="A153" s="4">
        <v>150</v>
      </c>
      <c r="B153" s="4" t="s">
        <v>140</v>
      </c>
      <c r="C153" s="4" t="s">
        <v>588</v>
      </c>
      <c r="D153" s="4" t="s">
        <v>477</v>
      </c>
      <c r="E153" s="69">
        <v>45617</v>
      </c>
      <c r="F153" s="4"/>
      <c r="G153" s="4" t="s">
        <v>275</v>
      </c>
      <c r="H153" s="4"/>
      <c r="I153" s="69">
        <v>45906</v>
      </c>
      <c r="J153" s="4"/>
      <c r="K153" s="69">
        <v>46271</v>
      </c>
      <c r="L153" s="4"/>
      <c r="M153" s="4"/>
      <c r="N153" s="4"/>
    </row>
    <row r="154" spans="1:14" x14ac:dyDescent="0.25">
      <c r="A154" s="4">
        <v>151</v>
      </c>
      <c r="B154" s="4" t="s">
        <v>140</v>
      </c>
      <c r="C154" s="4" t="s">
        <v>589</v>
      </c>
      <c r="D154" s="4" t="s">
        <v>349</v>
      </c>
      <c r="E154" s="69">
        <v>45617</v>
      </c>
      <c r="F154" s="4"/>
      <c r="G154" s="4" t="s">
        <v>275</v>
      </c>
      <c r="H154" s="4"/>
      <c r="I154" s="69">
        <v>45982</v>
      </c>
      <c r="J154" s="4"/>
      <c r="K154" s="69">
        <v>46347</v>
      </c>
      <c r="L154" s="4"/>
      <c r="M154" s="4"/>
      <c r="N154" s="4"/>
    </row>
    <row r="155" spans="1:14" x14ac:dyDescent="0.25">
      <c r="A155" s="4">
        <v>152</v>
      </c>
      <c r="B155" s="4" t="s">
        <v>140</v>
      </c>
      <c r="C155" s="4" t="s">
        <v>590</v>
      </c>
      <c r="D155" s="4" t="s">
        <v>286</v>
      </c>
      <c r="E155" s="69">
        <v>45618</v>
      </c>
      <c r="F155" s="4"/>
      <c r="G155" s="4" t="s">
        <v>275</v>
      </c>
      <c r="H155" s="4"/>
      <c r="I155" s="69">
        <v>45853</v>
      </c>
      <c r="J155" s="4"/>
      <c r="K155" s="69">
        <v>46218</v>
      </c>
      <c r="L155" s="4"/>
      <c r="M155" s="4"/>
      <c r="N155" s="4"/>
    </row>
    <row r="156" spans="1:14" x14ac:dyDescent="0.25">
      <c r="A156" s="4">
        <v>153</v>
      </c>
      <c r="B156" s="4" t="s">
        <v>140</v>
      </c>
      <c r="C156" s="4" t="s">
        <v>202</v>
      </c>
      <c r="D156" s="4" t="s">
        <v>591</v>
      </c>
      <c r="E156" s="69">
        <v>45619</v>
      </c>
      <c r="F156" s="4"/>
      <c r="G156" s="4" t="s">
        <v>275</v>
      </c>
      <c r="H156" s="4"/>
      <c r="I156" s="69">
        <v>45984</v>
      </c>
      <c r="J156" s="4"/>
      <c r="K156" s="69">
        <v>46349</v>
      </c>
      <c r="L156" s="4"/>
      <c r="M156" s="4"/>
      <c r="N156" s="4"/>
    </row>
    <row r="157" spans="1:14" x14ac:dyDescent="0.25">
      <c r="A157" s="4">
        <v>154</v>
      </c>
      <c r="B157" s="4" t="s">
        <v>140</v>
      </c>
      <c r="C157" s="4" t="s">
        <v>452</v>
      </c>
      <c r="D157" s="4" t="s">
        <v>556</v>
      </c>
      <c r="E157" s="69">
        <v>45621</v>
      </c>
      <c r="F157" s="4"/>
      <c r="G157" s="4" t="s">
        <v>275</v>
      </c>
      <c r="H157" s="4"/>
      <c r="I157" s="69">
        <v>45855</v>
      </c>
      <c r="J157" s="4"/>
      <c r="K157" s="69">
        <v>46220</v>
      </c>
      <c r="L157" s="4"/>
      <c r="M157" s="4"/>
      <c r="N157" s="4"/>
    </row>
    <row r="158" spans="1:14" x14ac:dyDescent="0.25">
      <c r="A158" s="4">
        <v>155</v>
      </c>
      <c r="B158" s="4" t="s">
        <v>140</v>
      </c>
      <c r="C158" s="4" t="s">
        <v>392</v>
      </c>
      <c r="D158" s="4" t="s">
        <v>561</v>
      </c>
      <c r="E158" s="69">
        <v>45621</v>
      </c>
      <c r="F158" s="4"/>
      <c r="G158" s="4" t="s">
        <v>275</v>
      </c>
      <c r="H158" s="4"/>
      <c r="I158" s="69">
        <v>45968</v>
      </c>
      <c r="J158" s="4"/>
      <c r="K158" s="69">
        <v>46333</v>
      </c>
      <c r="L158" s="4"/>
      <c r="M158" s="4"/>
      <c r="N158" s="4"/>
    </row>
    <row r="159" spans="1:14" x14ac:dyDescent="0.25">
      <c r="A159" s="4">
        <v>156</v>
      </c>
      <c r="B159" s="4" t="s">
        <v>140</v>
      </c>
      <c r="C159" s="4" t="s">
        <v>397</v>
      </c>
      <c r="D159" s="4" t="s">
        <v>396</v>
      </c>
      <c r="E159" s="69">
        <v>45623</v>
      </c>
      <c r="F159" s="4"/>
      <c r="G159" s="4" t="s">
        <v>275</v>
      </c>
      <c r="H159" s="4"/>
      <c r="I159" s="69">
        <v>45988</v>
      </c>
      <c r="J159" s="4"/>
      <c r="K159" s="69">
        <v>46353</v>
      </c>
      <c r="L159" s="4"/>
      <c r="M159" s="4"/>
      <c r="N159" s="4"/>
    </row>
    <row r="160" spans="1:14" x14ac:dyDescent="0.25">
      <c r="A160" s="4">
        <v>157</v>
      </c>
      <c r="B160" s="4" t="s">
        <v>140</v>
      </c>
      <c r="C160" s="4" t="s">
        <v>438</v>
      </c>
      <c r="D160" s="4" t="s">
        <v>437</v>
      </c>
      <c r="E160" s="69">
        <v>45623</v>
      </c>
      <c r="F160" s="4"/>
      <c r="G160" s="4" t="s">
        <v>275</v>
      </c>
      <c r="H160" s="4"/>
      <c r="I160" s="69">
        <v>45988</v>
      </c>
      <c r="J160" s="4"/>
      <c r="K160" s="69">
        <v>46353</v>
      </c>
      <c r="L160" s="4"/>
      <c r="M160" s="4"/>
      <c r="N160" s="4"/>
    </row>
    <row r="161" spans="1:14" x14ac:dyDescent="0.25">
      <c r="A161" s="4">
        <v>158</v>
      </c>
      <c r="B161" s="88" t="s">
        <v>140</v>
      </c>
      <c r="C161" s="88" t="s">
        <v>592</v>
      </c>
      <c r="D161" s="88" t="s">
        <v>366</v>
      </c>
      <c r="E161" s="89">
        <v>45628</v>
      </c>
      <c r="F161" s="88"/>
      <c r="G161" s="88" t="s">
        <v>275</v>
      </c>
      <c r="H161" s="88"/>
      <c r="I161" s="89">
        <v>45873</v>
      </c>
      <c r="J161" s="88"/>
      <c r="K161" s="89">
        <v>46238</v>
      </c>
      <c r="L161" s="88"/>
      <c r="M161" s="88"/>
      <c r="N161" s="88"/>
    </row>
    <row r="162" spans="1:14" x14ac:dyDescent="0.25">
      <c r="A162" s="4">
        <v>159</v>
      </c>
      <c r="B162" s="4" t="s">
        <v>140</v>
      </c>
      <c r="C162" s="4" t="s">
        <v>593</v>
      </c>
      <c r="D162" s="4" t="s">
        <v>594</v>
      </c>
      <c r="E162" s="69">
        <v>45628</v>
      </c>
      <c r="F162" s="4"/>
      <c r="G162" s="4" t="s">
        <v>275</v>
      </c>
      <c r="H162" s="4"/>
      <c r="I162" s="69">
        <v>45993</v>
      </c>
      <c r="J162" s="4"/>
      <c r="K162" s="69">
        <v>46358</v>
      </c>
      <c r="L162" s="4"/>
      <c r="M162" s="4"/>
      <c r="N162" s="4"/>
    </row>
    <row r="163" spans="1:14" x14ac:dyDescent="0.25">
      <c r="A163" s="4">
        <v>160</v>
      </c>
      <c r="B163" s="92" t="s">
        <v>140</v>
      </c>
      <c r="C163" s="92" t="s">
        <v>282</v>
      </c>
      <c r="D163" s="92" t="s">
        <v>281</v>
      </c>
      <c r="E163" s="93">
        <v>45628</v>
      </c>
      <c r="F163" s="92"/>
      <c r="G163" s="92" t="s">
        <v>275</v>
      </c>
      <c r="H163" s="92"/>
      <c r="I163" s="93">
        <v>45993</v>
      </c>
      <c r="J163" s="92"/>
      <c r="K163" s="93">
        <v>46358</v>
      </c>
      <c r="L163" s="92"/>
      <c r="M163" s="92"/>
      <c r="N163" s="92"/>
    </row>
    <row r="164" spans="1:14" x14ac:dyDescent="0.25">
      <c r="A164" s="4">
        <v>161</v>
      </c>
      <c r="B164" s="88" t="s">
        <v>140</v>
      </c>
      <c r="C164" s="88" t="s">
        <v>456</v>
      </c>
      <c r="D164" s="88" t="s">
        <v>349</v>
      </c>
      <c r="E164" s="89">
        <v>45629</v>
      </c>
      <c r="F164" s="88"/>
      <c r="G164" s="88" t="s">
        <v>275</v>
      </c>
      <c r="H164" s="88"/>
      <c r="I164" s="89">
        <v>45994</v>
      </c>
      <c r="J164" s="88"/>
      <c r="K164" s="89">
        <v>46359</v>
      </c>
      <c r="L164" s="88"/>
      <c r="M164" s="88"/>
      <c r="N164" s="88"/>
    </row>
    <row r="165" spans="1:14" x14ac:dyDescent="0.25">
      <c r="A165" s="4">
        <v>162</v>
      </c>
      <c r="B165" s="4" t="s">
        <v>140</v>
      </c>
      <c r="C165" s="4" t="s">
        <v>380</v>
      </c>
      <c r="D165" s="4" t="s">
        <v>477</v>
      </c>
      <c r="E165" s="69">
        <v>45630</v>
      </c>
      <c r="F165" s="4"/>
      <c r="G165" s="4" t="s">
        <v>275</v>
      </c>
      <c r="H165" s="4"/>
      <c r="I165" s="69">
        <v>45969</v>
      </c>
      <c r="J165" s="4"/>
      <c r="K165" s="69">
        <v>46334</v>
      </c>
      <c r="L165" s="4"/>
      <c r="M165" s="4"/>
      <c r="N165" s="4"/>
    </row>
    <row r="166" spans="1:14" x14ac:dyDescent="0.25">
      <c r="A166" s="4">
        <v>163</v>
      </c>
      <c r="B166" s="90" t="s">
        <v>140</v>
      </c>
      <c r="C166" s="90" t="s">
        <v>248</v>
      </c>
      <c r="D166" s="90" t="s">
        <v>398</v>
      </c>
      <c r="E166" s="91">
        <v>45630</v>
      </c>
      <c r="F166" s="90"/>
      <c r="G166" s="90" t="s">
        <v>275</v>
      </c>
      <c r="H166" s="90"/>
      <c r="I166" s="91">
        <v>45681</v>
      </c>
      <c r="J166" s="90"/>
      <c r="K166" s="94">
        <v>46052</v>
      </c>
      <c r="L166" s="90"/>
      <c r="M166" s="94">
        <v>46052</v>
      </c>
      <c r="N166" s="95"/>
    </row>
    <row r="167" spans="1:14" x14ac:dyDescent="0.25">
      <c r="A167" s="4">
        <v>164</v>
      </c>
      <c r="B167" s="88" t="s">
        <v>140</v>
      </c>
      <c r="C167" s="88" t="s">
        <v>595</v>
      </c>
      <c r="D167" s="88" t="s">
        <v>349</v>
      </c>
      <c r="E167" s="89">
        <v>45632</v>
      </c>
      <c r="F167" s="88"/>
      <c r="G167" s="88" t="s">
        <v>275</v>
      </c>
      <c r="H167" s="88"/>
      <c r="I167" s="89">
        <v>45997</v>
      </c>
      <c r="J167" s="88"/>
      <c r="K167" s="89">
        <v>46362</v>
      </c>
      <c r="L167" s="88"/>
      <c r="M167" s="88"/>
      <c r="N167" s="88"/>
    </row>
    <row r="168" spans="1:14" x14ac:dyDescent="0.25">
      <c r="A168" s="4">
        <v>165</v>
      </c>
      <c r="B168" s="4" t="s">
        <v>140</v>
      </c>
      <c r="C168" s="4" t="s">
        <v>178</v>
      </c>
      <c r="D168" s="4" t="s">
        <v>477</v>
      </c>
      <c r="E168" s="69">
        <v>45632</v>
      </c>
      <c r="F168" s="4"/>
      <c r="G168" s="4" t="s">
        <v>275</v>
      </c>
      <c r="H168" s="4"/>
      <c r="I168" s="69">
        <v>45997</v>
      </c>
      <c r="J168" s="4"/>
      <c r="K168" s="69">
        <v>46362</v>
      </c>
      <c r="L168" s="4"/>
      <c r="M168" s="4"/>
      <c r="N168" s="4"/>
    </row>
    <row r="169" spans="1:14" x14ac:dyDescent="0.25">
      <c r="A169" s="4">
        <v>166</v>
      </c>
      <c r="B169" s="92" t="s">
        <v>140</v>
      </c>
      <c r="C169" s="92" t="s">
        <v>382</v>
      </c>
      <c r="D169" s="92" t="s">
        <v>556</v>
      </c>
      <c r="E169" s="93">
        <v>45635</v>
      </c>
      <c r="F169" s="92"/>
      <c r="G169" s="92" t="s">
        <v>275</v>
      </c>
      <c r="H169" s="92"/>
      <c r="I169" s="93">
        <v>46000</v>
      </c>
      <c r="J169" s="92"/>
      <c r="K169" s="93">
        <v>46365</v>
      </c>
      <c r="L169" s="92"/>
      <c r="M169" s="92"/>
      <c r="N169" s="92"/>
    </row>
    <row r="170" spans="1:14" x14ac:dyDescent="0.25">
      <c r="A170" s="4">
        <v>167</v>
      </c>
      <c r="B170" s="4" t="s">
        <v>140</v>
      </c>
      <c r="C170" s="4" t="s">
        <v>596</v>
      </c>
      <c r="D170" s="4" t="s">
        <v>370</v>
      </c>
      <c r="E170" s="69">
        <v>45635</v>
      </c>
      <c r="F170" s="4"/>
      <c r="G170" s="4" t="s">
        <v>275</v>
      </c>
      <c r="H170" s="4"/>
      <c r="I170" s="69">
        <v>46000</v>
      </c>
      <c r="J170" s="4"/>
      <c r="K170" s="69">
        <v>46365</v>
      </c>
      <c r="L170" s="4"/>
      <c r="M170" s="4"/>
      <c r="N170" s="4"/>
    </row>
    <row r="171" spans="1:14" x14ac:dyDescent="0.25">
      <c r="A171" s="4">
        <v>168</v>
      </c>
      <c r="B171" s="4" t="s">
        <v>140</v>
      </c>
      <c r="C171" s="4" t="s">
        <v>341</v>
      </c>
      <c r="D171" s="4" t="s">
        <v>578</v>
      </c>
      <c r="E171" s="69">
        <v>45635</v>
      </c>
      <c r="F171" s="4"/>
      <c r="G171" s="4" t="s">
        <v>275</v>
      </c>
      <c r="H171" s="4"/>
      <c r="I171" s="69">
        <v>46000</v>
      </c>
      <c r="J171" s="4"/>
      <c r="K171" s="69">
        <v>46365</v>
      </c>
      <c r="L171" s="4"/>
      <c r="M171" s="4"/>
      <c r="N171" s="4"/>
    </row>
    <row r="172" spans="1:14" x14ac:dyDescent="0.25">
      <c r="A172" s="4">
        <v>169</v>
      </c>
      <c r="B172" s="4" t="s">
        <v>140</v>
      </c>
      <c r="C172" s="4" t="s">
        <v>277</v>
      </c>
      <c r="D172" s="4" t="s">
        <v>556</v>
      </c>
      <c r="E172" s="69">
        <v>45637</v>
      </c>
      <c r="F172" s="4"/>
      <c r="G172" s="4" t="s">
        <v>275</v>
      </c>
      <c r="H172" s="4"/>
      <c r="I172" s="69">
        <v>45856</v>
      </c>
      <c r="J172" s="4"/>
      <c r="K172" s="69">
        <v>46221</v>
      </c>
      <c r="L172" s="4"/>
      <c r="M172" s="4"/>
      <c r="N172" s="4"/>
    </row>
    <row r="173" spans="1:14" x14ac:dyDescent="0.25">
      <c r="A173" s="4">
        <v>170</v>
      </c>
      <c r="B173" s="4" t="s">
        <v>140</v>
      </c>
      <c r="C173" s="4" t="s">
        <v>101</v>
      </c>
      <c r="D173" s="4" t="s">
        <v>229</v>
      </c>
      <c r="E173" s="69">
        <v>45637</v>
      </c>
      <c r="F173" s="4"/>
      <c r="G173" s="4" t="s">
        <v>275</v>
      </c>
      <c r="H173" s="4"/>
      <c r="I173" s="69">
        <v>46002</v>
      </c>
      <c r="J173" s="4"/>
      <c r="K173" s="69">
        <v>46367</v>
      </c>
      <c r="L173" s="4"/>
      <c r="M173" s="4"/>
      <c r="N173" s="4"/>
    </row>
    <row r="174" spans="1:14" x14ac:dyDescent="0.25">
      <c r="A174" s="4">
        <v>171</v>
      </c>
      <c r="B174" s="4" t="s">
        <v>140</v>
      </c>
      <c r="C174" s="4" t="s">
        <v>442</v>
      </c>
      <c r="D174" s="4" t="s">
        <v>581</v>
      </c>
      <c r="E174" s="69">
        <v>45639</v>
      </c>
      <c r="F174" s="4"/>
      <c r="G174" s="4" t="s">
        <v>275</v>
      </c>
      <c r="H174" s="4"/>
      <c r="I174" s="69">
        <v>45860</v>
      </c>
      <c r="J174" s="4"/>
      <c r="K174" s="69">
        <v>46225</v>
      </c>
      <c r="L174" s="4"/>
      <c r="M174" s="4"/>
      <c r="N174" s="4"/>
    </row>
    <row r="175" spans="1:14" x14ac:dyDescent="0.25">
      <c r="A175" s="4">
        <v>172</v>
      </c>
      <c r="B175" s="4" t="s">
        <v>140</v>
      </c>
      <c r="C175" s="4" t="s">
        <v>597</v>
      </c>
      <c r="D175" s="4" t="s">
        <v>229</v>
      </c>
      <c r="E175" s="69">
        <v>45639</v>
      </c>
      <c r="F175" s="4"/>
      <c r="G175" s="4" t="s">
        <v>275</v>
      </c>
      <c r="H175" s="4"/>
      <c r="I175" s="69">
        <v>46004</v>
      </c>
      <c r="J175" s="4"/>
      <c r="K175" s="69">
        <v>46369</v>
      </c>
      <c r="L175" s="4"/>
      <c r="M175" s="4"/>
      <c r="N175" s="4"/>
    </row>
    <row r="176" spans="1:14" x14ac:dyDescent="0.25">
      <c r="A176" s="4">
        <v>173</v>
      </c>
      <c r="B176" s="88" t="s">
        <v>140</v>
      </c>
      <c r="C176" s="88" t="s">
        <v>203</v>
      </c>
      <c r="D176" s="88" t="s">
        <v>591</v>
      </c>
      <c r="E176" s="89">
        <v>45639</v>
      </c>
      <c r="F176" s="88"/>
      <c r="G176" s="88" t="s">
        <v>275</v>
      </c>
      <c r="H176" s="88"/>
      <c r="I176" s="89">
        <v>46004</v>
      </c>
      <c r="J176" s="88"/>
      <c r="K176" s="89">
        <v>46369</v>
      </c>
      <c r="L176" s="88"/>
      <c r="M176" s="88"/>
      <c r="N176" s="88"/>
    </row>
    <row r="177" spans="1:14" x14ac:dyDescent="0.25">
      <c r="A177" s="4">
        <v>174</v>
      </c>
      <c r="B177" s="4" t="s">
        <v>140</v>
      </c>
      <c r="C177" s="4" t="s">
        <v>179</v>
      </c>
      <c r="D177" s="4" t="s">
        <v>477</v>
      </c>
      <c r="E177" s="69">
        <v>45639</v>
      </c>
      <c r="F177" s="4"/>
      <c r="G177" s="4" t="s">
        <v>275</v>
      </c>
      <c r="H177" s="4"/>
      <c r="I177" s="69">
        <v>46004</v>
      </c>
      <c r="J177" s="4"/>
      <c r="K177" s="69">
        <v>46369</v>
      </c>
      <c r="L177" s="4"/>
      <c r="M177" s="4"/>
      <c r="N177" s="4"/>
    </row>
    <row r="178" spans="1:14" x14ac:dyDescent="0.25">
      <c r="A178" s="4">
        <v>175</v>
      </c>
      <c r="B178" s="96" t="s">
        <v>470</v>
      </c>
      <c r="C178" s="96" t="s">
        <v>598</v>
      </c>
      <c r="D178" s="96" t="s">
        <v>229</v>
      </c>
      <c r="E178" s="97">
        <v>45640</v>
      </c>
      <c r="F178" s="96"/>
      <c r="G178" s="96" t="s">
        <v>275</v>
      </c>
      <c r="H178" s="96"/>
      <c r="I178" s="93">
        <v>46005</v>
      </c>
      <c r="J178" s="92"/>
      <c r="K178" s="93">
        <v>46370</v>
      </c>
      <c r="L178" s="92"/>
      <c r="M178" s="92"/>
      <c r="N178" s="92"/>
    </row>
    <row r="179" spans="1:14" x14ac:dyDescent="0.25">
      <c r="A179" s="4">
        <v>176</v>
      </c>
      <c r="B179" s="71" t="s">
        <v>470</v>
      </c>
      <c r="C179" s="71" t="s">
        <v>599</v>
      </c>
      <c r="D179" s="71" t="s">
        <v>235</v>
      </c>
      <c r="E179" s="70">
        <v>45640</v>
      </c>
      <c r="F179" s="71"/>
      <c r="G179" s="71" t="s">
        <v>275</v>
      </c>
      <c r="H179" s="71"/>
      <c r="I179" s="69">
        <v>46005</v>
      </c>
      <c r="J179" s="4"/>
      <c r="K179" s="69">
        <v>46370</v>
      </c>
      <c r="L179" s="4"/>
      <c r="M179" s="4"/>
      <c r="N179" s="4"/>
    </row>
    <row r="180" spans="1:14" x14ac:dyDescent="0.25">
      <c r="A180" s="4">
        <v>177</v>
      </c>
      <c r="B180" s="71" t="s">
        <v>510</v>
      </c>
      <c r="C180" s="71" t="s">
        <v>600</v>
      </c>
      <c r="D180" s="71" t="s">
        <v>398</v>
      </c>
      <c r="E180" s="70">
        <v>45640</v>
      </c>
      <c r="F180" s="71"/>
      <c r="G180" s="71" t="s">
        <v>275</v>
      </c>
      <c r="H180" s="71"/>
      <c r="I180" s="69">
        <v>46005</v>
      </c>
      <c r="J180" s="4"/>
      <c r="K180" s="69">
        <v>46370</v>
      </c>
      <c r="L180" s="4"/>
      <c r="M180" s="4"/>
      <c r="N180" s="4"/>
    </row>
    <row r="181" spans="1:14" x14ac:dyDescent="0.25">
      <c r="A181" s="4">
        <v>178</v>
      </c>
      <c r="B181" s="71" t="s">
        <v>140</v>
      </c>
      <c r="C181" s="71" t="s">
        <v>200</v>
      </c>
      <c r="D181" s="71" t="s">
        <v>242</v>
      </c>
      <c r="E181" s="70">
        <v>45642</v>
      </c>
      <c r="F181" s="71"/>
      <c r="G181" s="71" t="s">
        <v>275</v>
      </c>
      <c r="H181" s="71"/>
      <c r="I181" s="69">
        <v>46007</v>
      </c>
      <c r="J181" s="4"/>
      <c r="K181" s="69">
        <v>46372</v>
      </c>
      <c r="L181" s="4"/>
      <c r="M181" s="4"/>
      <c r="N181" s="4"/>
    </row>
    <row r="182" spans="1:14" x14ac:dyDescent="0.25">
      <c r="A182" s="4">
        <v>179</v>
      </c>
      <c r="B182" s="71" t="s">
        <v>140</v>
      </c>
      <c r="C182" s="71" t="s">
        <v>601</v>
      </c>
      <c r="D182" s="71" t="s">
        <v>396</v>
      </c>
      <c r="E182" s="70">
        <v>45642</v>
      </c>
      <c r="F182" s="71"/>
      <c r="G182" s="71" t="s">
        <v>275</v>
      </c>
      <c r="H182" s="71"/>
      <c r="I182" s="69">
        <v>46007</v>
      </c>
      <c r="J182" s="4"/>
      <c r="K182" s="69">
        <v>46372</v>
      </c>
      <c r="L182" s="4"/>
      <c r="M182" s="4"/>
      <c r="N182" s="4"/>
    </row>
    <row r="183" spans="1:14" x14ac:dyDescent="0.25">
      <c r="A183" s="4">
        <v>180</v>
      </c>
      <c r="B183" s="72" t="s">
        <v>140</v>
      </c>
      <c r="C183" s="72" t="s">
        <v>436</v>
      </c>
      <c r="D183" s="72" t="s">
        <v>398</v>
      </c>
      <c r="E183" s="73">
        <v>45642</v>
      </c>
      <c r="F183" s="72"/>
      <c r="G183" s="72" t="s">
        <v>275</v>
      </c>
      <c r="H183" s="72"/>
      <c r="I183" s="73">
        <v>45681</v>
      </c>
      <c r="J183" s="72"/>
      <c r="K183" s="75">
        <v>46077</v>
      </c>
      <c r="L183" s="37"/>
      <c r="M183" s="75">
        <v>46086</v>
      </c>
      <c r="N183" s="76"/>
    </row>
    <row r="184" spans="1:14" x14ac:dyDescent="0.25">
      <c r="A184" s="4">
        <v>181</v>
      </c>
      <c r="B184" s="71" t="s">
        <v>140</v>
      </c>
      <c r="C184" s="71" t="s">
        <v>158</v>
      </c>
      <c r="D184" s="71" t="s">
        <v>549</v>
      </c>
      <c r="E184" s="70">
        <v>45644</v>
      </c>
      <c r="F184" s="71"/>
      <c r="G184" s="71" t="s">
        <v>275</v>
      </c>
      <c r="H184" s="71"/>
      <c r="I184" s="69">
        <v>46009</v>
      </c>
      <c r="J184" s="4"/>
      <c r="K184" s="69">
        <v>46374</v>
      </c>
      <c r="L184" s="4"/>
      <c r="M184" s="4"/>
      <c r="N184" s="4"/>
    </row>
    <row r="185" spans="1:14" x14ac:dyDescent="0.25">
      <c r="A185" s="4">
        <v>182</v>
      </c>
      <c r="B185" s="71" t="s">
        <v>140</v>
      </c>
      <c r="C185" s="71" t="s">
        <v>337</v>
      </c>
      <c r="D185" s="71" t="s">
        <v>336</v>
      </c>
      <c r="E185" s="70">
        <v>45644</v>
      </c>
      <c r="F185" s="71"/>
      <c r="G185" s="71" t="s">
        <v>275</v>
      </c>
      <c r="H185" s="71"/>
      <c r="I185" s="69">
        <v>46009</v>
      </c>
      <c r="J185" s="4"/>
      <c r="K185" s="69">
        <v>46374</v>
      </c>
      <c r="L185" s="4"/>
      <c r="M185" s="4"/>
      <c r="N185" s="4"/>
    </row>
    <row r="186" spans="1:14" x14ac:dyDescent="0.25">
      <c r="A186" s="4">
        <v>183</v>
      </c>
      <c r="B186" s="71" t="s">
        <v>140</v>
      </c>
      <c r="C186" s="71" t="s">
        <v>602</v>
      </c>
      <c r="D186" s="71" t="s">
        <v>549</v>
      </c>
      <c r="E186" s="70">
        <v>45646</v>
      </c>
      <c r="F186" s="71"/>
      <c r="G186" s="71" t="s">
        <v>275</v>
      </c>
      <c r="H186" s="71"/>
      <c r="I186" s="70">
        <v>45925</v>
      </c>
      <c r="J186" s="71"/>
      <c r="K186" s="70">
        <v>46290</v>
      </c>
      <c r="L186" s="4"/>
      <c r="M186" s="71"/>
      <c r="N186" s="4"/>
    </row>
    <row r="187" spans="1:14" x14ac:dyDescent="0.25">
      <c r="A187" s="4">
        <v>184</v>
      </c>
      <c r="B187" s="71" t="s">
        <v>140</v>
      </c>
      <c r="C187" s="71" t="s">
        <v>375</v>
      </c>
      <c r="D187" s="71" t="s">
        <v>373</v>
      </c>
      <c r="E187" s="70">
        <v>45646</v>
      </c>
      <c r="F187" s="71"/>
      <c r="G187" s="71" t="s">
        <v>275</v>
      </c>
      <c r="H187" s="71"/>
      <c r="I187" s="69">
        <v>46011</v>
      </c>
      <c r="J187" s="4"/>
      <c r="K187" s="69">
        <v>46376</v>
      </c>
      <c r="L187" s="4"/>
      <c r="M187" s="4"/>
      <c r="N187" s="4"/>
    </row>
    <row r="188" spans="1:14" x14ac:dyDescent="0.25">
      <c r="A188" s="4">
        <v>185</v>
      </c>
      <c r="B188" s="71" t="s">
        <v>140</v>
      </c>
      <c r="C188" s="71" t="s">
        <v>603</v>
      </c>
      <c r="D188" s="71" t="s">
        <v>573</v>
      </c>
      <c r="E188" s="70">
        <v>45649</v>
      </c>
      <c r="F188" s="71"/>
      <c r="G188" s="71" t="s">
        <v>275</v>
      </c>
      <c r="H188" s="71"/>
      <c r="I188" s="69">
        <v>46014</v>
      </c>
      <c r="J188" s="4"/>
      <c r="K188" s="69">
        <v>46379</v>
      </c>
      <c r="L188" s="4"/>
      <c r="M188" s="4"/>
      <c r="N188" s="4"/>
    </row>
    <row r="189" spans="1:14" x14ac:dyDescent="0.25">
      <c r="A189" s="4">
        <v>186</v>
      </c>
      <c r="B189" s="98" t="s">
        <v>140</v>
      </c>
      <c r="C189" s="98" t="s">
        <v>604</v>
      </c>
      <c r="D189" s="98" t="s">
        <v>398</v>
      </c>
      <c r="E189" s="99">
        <v>45679</v>
      </c>
      <c r="F189" s="98"/>
      <c r="G189" s="98" t="s">
        <v>275</v>
      </c>
      <c r="H189" s="98"/>
      <c r="I189" s="100" t="s">
        <v>275</v>
      </c>
      <c r="J189" s="100"/>
      <c r="K189" s="101">
        <v>46075</v>
      </c>
      <c r="L189" s="100"/>
      <c r="M189" s="101">
        <v>46086</v>
      </c>
      <c r="N189" s="102"/>
    </row>
    <row r="190" spans="1:14" x14ac:dyDescent="0.25">
      <c r="A190" s="4">
        <v>187</v>
      </c>
      <c r="B190" s="72" t="s">
        <v>510</v>
      </c>
      <c r="C190" s="72" t="s">
        <v>605</v>
      </c>
      <c r="D190" s="72" t="s">
        <v>286</v>
      </c>
      <c r="E190" s="73">
        <v>45680</v>
      </c>
      <c r="F190" s="72"/>
      <c r="G190" s="72" t="s">
        <v>275</v>
      </c>
      <c r="H190" s="72"/>
      <c r="I190" s="37" t="s">
        <v>275</v>
      </c>
      <c r="J190" s="37"/>
      <c r="K190" s="75">
        <v>46076</v>
      </c>
      <c r="L190" s="37"/>
      <c r="M190" s="75">
        <v>46076</v>
      </c>
      <c r="N190" s="76"/>
    </row>
    <row r="191" spans="1:14" x14ac:dyDescent="0.25">
      <c r="A191" s="4">
        <v>188</v>
      </c>
      <c r="B191" s="103" t="s">
        <v>510</v>
      </c>
      <c r="C191" s="103" t="s">
        <v>606</v>
      </c>
      <c r="D191" s="103" t="s">
        <v>561</v>
      </c>
      <c r="E191" s="104">
        <v>45680</v>
      </c>
      <c r="F191" s="103"/>
      <c r="G191" s="103" t="s">
        <v>275</v>
      </c>
      <c r="H191" s="103"/>
      <c r="I191" s="104">
        <v>45968</v>
      </c>
      <c r="J191" s="103"/>
      <c r="K191" s="104">
        <v>46333</v>
      </c>
      <c r="L191" s="103"/>
      <c r="M191" s="103"/>
      <c r="N191" s="103"/>
    </row>
    <row r="192" spans="1:14" x14ac:dyDescent="0.25">
      <c r="A192" s="4">
        <v>189</v>
      </c>
      <c r="B192" s="37" t="s">
        <v>510</v>
      </c>
      <c r="C192" s="37" t="s">
        <v>607</v>
      </c>
      <c r="D192" s="37" t="s">
        <v>398</v>
      </c>
      <c r="E192" s="75">
        <v>45680</v>
      </c>
      <c r="F192" s="37"/>
      <c r="G192" s="37" t="s">
        <v>275</v>
      </c>
      <c r="H192" s="37"/>
      <c r="I192" s="37" t="s">
        <v>275</v>
      </c>
      <c r="J192" s="37"/>
      <c r="K192" s="75">
        <v>46076</v>
      </c>
      <c r="L192" s="37"/>
      <c r="M192" s="75">
        <v>46085</v>
      </c>
      <c r="N192" s="76"/>
    </row>
    <row r="193" spans="1:14" x14ac:dyDescent="0.25">
      <c r="A193" s="4">
        <v>190</v>
      </c>
      <c r="B193" s="90" t="s">
        <v>510</v>
      </c>
      <c r="C193" s="90" t="s">
        <v>608</v>
      </c>
      <c r="D193" s="90" t="s">
        <v>398</v>
      </c>
      <c r="E193" s="91">
        <v>45692</v>
      </c>
      <c r="F193" s="90"/>
      <c r="G193" s="90" t="s">
        <v>275</v>
      </c>
      <c r="H193" s="90"/>
      <c r="I193" s="90" t="s">
        <v>275</v>
      </c>
      <c r="J193" s="90"/>
      <c r="K193" s="91">
        <v>46057</v>
      </c>
      <c r="L193" s="90"/>
      <c r="M193" s="91">
        <v>46087</v>
      </c>
      <c r="N193" s="95"/>
    </row>
    <row r="194" spans="1:14" x14ac:dyDescent="0.25">
      <c r="A194" s="4">
        <v>191</v>
      </c>
      <c r="B194" s="4" t="s">
        <v>510</v>
      </c>
      <c r="C194" s="4" t="s">
        <v>609</v>
      </c>
      <c r="D194" s="4" t="s">
        <v>286</v>
      </c>
      <c r="E194" s="69">
        <v>45702</v>
      </c>
      <c r="F194" s="4"/>
      <c r="G194" s="4" t="s">
        <v>275</v>
      </c>
      <c r="H194" s="4"/>
      <c r="I194" s="69">
        <v>45845</v>
      </c>
      <c r="J194" s="4"/>
      <c r="K194" s="69">
        <v>46210</v>
      </c>
      <c r="L194" s="4"/>
      <c r="M194" s="4"/>
      <c r="N194" s="4"/>
    </row>
    <row r="195" spans="1:14" x14ac:dyDescent="0.25">
      <c r="A195" s="4">
        <v>192</v>
      </c>
      <c r="B195" s="105" t="s">
        <v>510</v>
      </c>
      <c r="C195" s="106" t="s">
        <v>610</v>
      </c>
      <c r="D195" s="106" t="s">
        <v>286</v>
      </c>
      <c r="E195" s="107">
        <v>45702</v>
      </c>
      <c r="F195" s="105"/>
      <c r="G195" s="106" t="s">
        <v>275</v>
      </c>
      <c r="H195" s="106"/>
      <c r="I195" s="106" t="s">
        <v>275</v>
      </c>
      <c r="J195" s="106"/>
      <c r="K195" s="108">
        <v>46067</v>
      </c>
      <c r="L195" s="37"/>
      <c r="M195" s="106"/>
      <c r="N195" s="109"/>
    </row>
    <row r="196" spans="1:14" x14ac:dyDescent="0.25">
      <c r="A196" s="4">
        <v>193</v>
      </c>
      <c r="B196" s="4" t="s">
        <v>510</v>
      </c>
      <c r="C196" s="4" t="s">
        <v>611</v>
      </c>
      <c r="D196" s="4" t="s">
        <v>366</v>
      </c>
      <c r="E196" s="69">
        <v>45706</v>
      </c>
      <c r="F196" s="4"/>
      <c r="G196" s="4" t="s">
        <v>275</v>
      </c>
      <c r="H196" s="4"/>
      <c r="I196" s="69">
        <v>45855</v>
      </c>
      <c r="J196" s="4"/>
      <c r="K196" s="69">
        <v>46220</v>
      </c>
      <c r="L196" s="4"/>
      <c r="M196" s="4"/>
      <c r="N196" s="4"/>
    </row>
    <row r="197" spans="1:14" x14ac:dyDescent="0.25">
      <c r="A197" s="4">
        <v>194</v>
      </c>
      <c r="B197" s="37" t="s">
        <v>510</v>
      </c>
      <c r="C197" s="37" t="s">
        <v>612</v>
      </c>
      <c r="D197" s="37" t="s">
        <v>286</v>
      </c>
      <c r="E197" s="75">
        <v>45707</v>
      </c>
      <c r="F197" s="37"/>
      <c r="G197" s="37" t="s">
        <v>275</v>
      </c>
      <c r="H197" s="37"/>
      <c r="I197" s="37" t="s">
        <v>275</v>
      </c>
      <c r="J197" s="37"/>
      <c r="K197" s="75">
        <v>46072</v>
      </c>
      <c r="L197" s="37"/>
      <c r="M197" s="75">
        <v>46072</v>
      </c>
      <c r="N197" s="76"/>
    </row>
    <row r="198" spans="1:14" x14ac:dyDescent="0.25">
      <c r="A198" s="4">
        <v>195</v>
      </c>
      <c r="B198" s="4" t="s">
        <v>510</v>
      </c>
      <c r="C198" s="4" t="s">
        <v>613</v>
      </c>
      <c r="D198" s="4" t="s">
        <v>366</v>
      </c>
      <c r="E198" s="69">
        <v>45714</v>
      </c>
      <c r="F198" s="4"/>
      <c r="G198" s="4" t="s">
        <v>275</v>
      </c>
      <c r="H198" s="4"/>
      <c r="I198" s="69">
        <v>45855</v>
      </c>
      <c r="J198" s="4"/>
      <c r="K198" s="69">
        <v>46220</v>
      </c>
      <c r="L198" s="4"/>
      <c r="M198" s="4"/>
      <c r="N198" s="4"/>
    </row>
    <row r="199" spans="1:14" x14ac:dyDescent="0.25">
      <c r="A199" s="4">
        <v>196</v>
      </c>
      <c r="B199" s="4" t="s">
        <v>510</v>
      </c>
      <c r="C199" s="4" t="s">
        <v>614</v>
      </c>
      <c r="D199" s="4" t="s">
        <v>549</v>
      </c>
      <c r="E199" s="69">
        <v>45714</v>
      </c>
      <c r="F199" s="4"/>
      <c r="G199" s="4" t="s">
        <v>275</v>
      </c>
      <c r="H199" s="4"/>
      <c r="I199" s="69">
        <v>45925</v>
      </c>
      <c r="J199" s="4"/>
      <c r="K199" s="69">
        <v>46290</v>
      </c>
      <c r="L199" s="4"/>
      <c r="M199" s="4"/>
      <c r="N199" s="4"/>
    </row>
    <row r="200" spans="1:14" x14ac:dyDescent="0.25">
      <c r="A200" s="4">
        <v>197</v>
      </c>
      <c r="B200" s="4" t="s">
        <v>140</v>
      </c>
      <c r="C200" s="4" t="s">
        <v>268</v>
      </c>
      <c r="D200" s="4" t="s">
        <v>267</v>
      </c>
      <c r="E200" s="69">
        <v>45715</v>
      </c>
      <c r="F200" s="4"/>
      <c r="G200" s="4" t="s">
        <v>275</v>
      </c>
      <c r="H200" s="4"/>
      <c r="I200" s="69">
        <v>45918</v>
      </c>
      <c r="J200" s="4"/>
      <c r="K200" s="69">
        <v>46283</v>
      </c>
      <c r="L200" s="4"/>
      <c r="M200" s="4"/>
      <c r="N200" s="4"/>
    </row>
    <row r="201" spans="1:14" x14ac:dyDescent="0.25">
      <c r="A201" s="4">
        <v>198</v>
      </c>
      <c r="B201" s="37" t="s">
        <v>140</v>
      </c>
      <c r="C201" s="37" t="s">
        <v>273</v>
      </c>
      <c r="D201" s="37" t="s">
        <v>267</v>
      </c>
      <c r="E201" s="75">
        <v>45715</v>
      </c>
      <c r="F201" s="37"/>
      <c r="G201" s="37" t="s">
        <v>275</v>
      </c>
      <c r="H201" s="37"/>
      <c r="I201" s="37" t="s">
        <v>275</v>
      </c>
      <c r="J201" s="37"/>
      <c r="K201" s="75">
        <v>46063</v>
      </c>
      <c r="L201" s="37"/>
      <c r="M201" s="75">
        <v>46063</v>
      </c>
      <c r="N201" s="76"/>
    </row>
    <row r="202" spans="1:14" x14ac:dyDescent="0.25">
      <c r="A202" s="4">
        <v>199</v>
      </c>
      <c r="B202" s="37" t="s">
        <v>140</v>
      </c>
      <c r="C202" s="37" t="s">
        <v>615</v>
      </c>
      <c r="D202" s="37" t="s">
        <v>286</v>
      </c>
      <c r="E202" s="75">
        <v>45715</v>
      </c>
      <c r="F202" s="37"/>
      <c r="G202" s="37" t="s">
        <v>275</v>
      </c>
      <c r="H202" s="37"/>
      <c r="I202" s="37" t="s">
        <v>275</v>
      </c>
      <c r="J202" s="37"/>
      <c r="K202" s="75">
        <v>46080</v>
      </c>
      <c r="L202" s="37"/>
      <c r="M202" s="75">
        <v>46080</v>
      </c>
      <c r="N202" s="76"/>
    </row>
    <row r="203" spans="1:14" x14ac:dyDescent="0.25">
      <c r="A203" s="4">
        <v>200</v>
      </c>
      <c r="B203" s="88" t="s">
        <v>510</v>
      </c>
      <c r="C203" s="88" t="s">
        <v>616</v>
      </c>
      <c r="D203" s="88" t="s">
        <v>351</v>
      </c>
      <c r="E203" s="89">
        <v>45715</v>
      </c>
      <c r="F203" s="88"/>
      <c r="G203" s="88" t="s">
        <v>275</v>
      </c>
      <c r="H203" s="88"/>
      <c r="I203" s="89">
        <v>45923</v>
      </c>
      <c r="J203" s="88"/>
      <c r="K203" s="89">
        <v>46288</v>
      </c>
      <c r="L203" s="88"/>
      <c r="M203" s="88"/>
      <c r="N203" s="88"/>
    </row>
    <row r="204" spans="1:14" x14ac:dyDescent="0.25">
      <c r="A204" s="4">
        <v>201</v>
      </c>
      <c r="B204" s="4" t="s">
        <v>140</v>
      </c>
      <c r="C204" s="4" t="s">
        <v>617</v>
      </c>
      <c r="D204" s="4" t="s">
        <v>477</v>
      </c>
      <c r="E204" s="69">
        <v>45716</v>
      </c>
      <c r="F204" s="4"/>
      <c r="G204" s="4" t="s">
        <v>275</v>
      </c>
      <c r="H204" s="4"/>
      <c r="I204" s="69">
        <v>45969</v>
      </c>
      <c r="J204" s="4"/>
      <c r="K204" s="69">
        <v>46334</v>
      </c>
      <c r="L204" s="4"/>
      <c r="M204" s="4"/>
      <c r="N204" s="4"/>
    </row>
    <row r="205" spans="1:14" x14ac:dyDescent="0.25">
      <c r="A205" s="4">
        <v>202</v>
      </c>
      <c r="B205" s="92" t="s">
        <v>470</v>
      </c>
      <c r="C205" s="92" t="s">
        <v>618</v>
      </c>
      <c r="D205" s="92" t="s">
        <v>257</v>
      </c>
      <c r="E205" s="93">
        <v>45734</v>
      </c>
      <c r="F205" s="92"/>
      <c r="G205" s="92" t="s">
        <v>275</v>
      </c>
      <c r="H205" s="92"/>
      <c r="I205" s="93">
        <v>45846</v>
      </c>
      <c r="J205" s="92"/>
      <c r="K205" s="93">
        <v>46211</v>
      </c>
      <c r="L205" s="92"/>
      <c r="M205" s="92"/>
      <c r="N205" s="92"/>
    </row>
    <row r="206" spans="1:14" x14ac:dyDescent="0.25">
      <c r="A206" s="4">
        <v>203</v>
      </c>
      <c r="B206" s="92" t="s">
        <v>510</v>
      </c>
      <c r="C206" s="92" t="s">
        <v>619</v>
      </c>
      <c r="D206" s="92" t="s">
        <v>398</v>
      </c>
      <c r="E206" s="93">
        <v>45736</v>
      </c>
      <c r="F206" s="92"/>
      <c r="G206" s="92" t="s">
        <v>275</v>
      </c>
      <c r="H206" s="92"/>
      <c r="I206" s="92" t="s">
        <v>275</v>
      </c>
      <c r="J206" s="92"/>
      <c r="K206" s="93">
        <v>46101</v>
      </c>
      <c r="L206" s="92"/>
      <c r="M206" s="93">
        <v>46100</v>
      </c>
      <c r="N206" s="92"/>
    </row>
    <row r="207" spans="1:14" x14ac:dyDescent="0.25">
      <c r="A207" s="4">
        <v>204</v>
      </c>
      <c r="B207" s="4" t="s">
        <v>510</v>
      </c>
      <c r="C207" s="4" t="s">
        <v>620</v>
      </c>
      <c r="D207" s="4" t="s">
        <v>398</v>
      </c>
      <c r="E207" s="69">
        <v>45736</v>
      </c>
      <c r="F207" s="4"/>
      <c r="G207" s="4" t="s">
        <v>275</v>
      </c>
      <c r="H207" s="4"/>
      <c r="I207" s="4" t="s">
        <v>275</v>
      </c>
      <c r="J207" s="4"/>
      <c r="K207" s="69">
        <v>46101</v>
      </c>
      <c r="L207" s="4"/>
      <c r="M207" s="69">
        <v>46100</v>
      </c>
      <c r="N207" s="4"/>
    </row>
    <row r="208" spans="1:14" x14ac:dyDescent="0.25">
      <c r="A208" s="4">
        <v>205</v>
      </c>
      <c r="B208" s="4" t="s">
        <v>510</v>
      </c>
      <c r="C208" s="4" t="s">
        <v>621</v>
      </c>
      <c r="D208" s="4" t="s">
        <v>398</v>
      </c>
      <c r="E208" s="69">
        <v>45737</v>
      </c>
      <c r="F208" s="4"/>
      <c r="G208" s="4" t="s">
        <v>275</v>
      </c>
      <c r="H208" s="4"/>
      <c r="I208" s="4" t="s">
        <v>275</v>
      </c>
      <c r="J208" s="4"/>
      <c r="K208" s="69">
        <v>46102</v>
      </c>
      <c r="L208" s="4"/>
      <c r="M208" s="69">
        <v>46101</v>
      </c>
      <c r="N208" s="4"/>
    </row>
    <row r="209" spans="1:14" x14ac:dyDescent="0.25">
      <c r="A209" s="4">
        <v>206</v>
      </c>
      <c r="B209" s="4" t="s">
        <v>510</v>
      </c>
      <c r="C209" s="4" t="s">
        <v>622</v>
      </c>
      <c r="D209" s="4" t="s">
        <v>398</v>
      </c>
      <c r="E209" s="69">
        <v>45737</v>
      </c>
      <c r="F209" s="4"/>
      <c r="G209" s="4" t="s">
        <v>275</v>
      </c>
      <c r="H209" s="4"/>
      <c r="I209" s="4" t="s">
        <v>275</v>
      </c>
      <c r="J209" s="4"/>
      <c r="K209" s="69">
        <v>46102</v>
      </c>
      <c r="L209" s="4"/>
      <c r="M209" s="69">
        <v>46101</v>
      </c>
      <c r="N209" s="4"/>
    </row>
    <row r="210" spans="1:14" x14ac:dyDescent="0.25">
      <c r="A210" s="4">
        <v>207</v>
      </c>
      <c r="B210" s="71" t="s">
        <v>140</v>
      </c>
      <c r="C210" s="71" t="s">
        <v>302</v>
      </c>
      <c r="D210" s="71" t="s">
        <v>286</v>
      </c>
      <c r="E210" s="70">
        <v>45738</v>
      </c>
      <c r="F210" s="71"/>
      <c r="G210" s="71" t="s">
        <v>275</v>
      </c>
      <c r="H210" s="71"/>
      <c r="I210" s="71" t="s">
        <v>275</v>
      </c>
      <c r="J210" s="71"/>
      <c r="K210" s="69">
        <v>46103</v>
      </c>
      <c r="L210" s="4"/>
      <c r="M210" s="69">
        <v>46104</v>
      </c>
      <c r="N210" s="4"/>
    </row>
    <row r="211" spans="1:14" ht="30" x14ac:dyDescent="0.25">
      <c r="A211" s="4">
        <v>208</v>
      </c>
      <c r="B211" s="106" t="s">
        <v>510</v>
      </c>
      <c r="C211" s="106" t="s">
        <v>623</v>
      </c>
      <c r="D211" s="106" t="s">
        <v>398</v>
      </c>
      <c r="E211" s="108">
        <v>45740</v>
      </c>
      <c r="F211" s="106"/>
      <c r="G211" s="106" t="s">
        <v>275</v>
      </c>
      <c r="H211" s="106"/>
      <c r="I211" s="106" t="s">
        <v>275</v>
      </c>
      <c r="J211" s="106"/>
      <c r="K211" s="106"/>
      <c r="L211" s="37"/>
      <c r="M211" s="106"/>
      <c r="N211" s="109" t="s">
        <v>624</v>
      </c>
    </row>
    <row r="212" spans="1:14" x14ac:dyDescent="0.25">
      <c r="A212" s="4">
        <v>209</v>
      </c>
      <c r="B212" s="4" t="s">
        <v>510</v>
      </c>
      <c r="C212" s="4" t="s">
        <v>625</v>
      </c>
      <c r="D212" s="4" t="s">
        <v>398</v>
      </c>
      <c r="E212" s="69">
        <v>45741</v>
      </c>
      <c r="F212" s="4"/>
      <c r="G212" s="4" t="s">
        <v>275</v>
      </c>
      <c r="H212" s="4"/>
      <c r="I212" s="4" t="s">
        <v>275</v>
      </c>
      <c r="J212" s="4"/>
      <c r="K212" s="69">
        <v>46106</v>
      </c>
      <c r="L212" s="4"/>
      <c r="M212" s="69">
        <v>46106</v>
      </c>
      <c r="N212" s="4"/>
    </row>
    <row r="213" spans="1:14" x14ac:dyDescent="0.25">
      <c r="A213" s="4">
        <v>210</v>
      </c>
      <c r="B213" s="71" t="s">
        <v>510</v>
      </c>
      <c r="C213" s="4" t="s">
        <v>626</v>
      </c>
      <c r="D213" s="4" t="s">
        <v>286</v>
      </c>
      <c r="E213" s="70">
        <v>45744</v>
      </c>
      <c r="F213" s="71"/>
      <c r="G213" s="71" t="s">
        <v>275</v>
      </c>
      <c r="H213" s="71"/>
      <c r="I213" s="4" t="s">
        <v>275</v>
      </c>
      <c r="J213" s="4"/>
      <c r="K213" s="69">
        <v>46109</v>
      </c>
      <c r="L213" s="4"/>
      <c r="M213" s="69">
        <v>46111</v>
      </c>
      <c r="N213" s="4"/>
    </row>
    <row r="214" spans="1:14" x14ac:dyDescent="0.25">
      <c r="A214" s="4">
        <v>211</v>
      </c>
      <c r="B214" s="4" t="s">
        <v>510</v>
      </c>
      <c r="C214" s="4" t="s">
        <v>627</v>
      </c>
      <c r="D214" s="4" t="s">
        <v>286</v>
      </c>
      <c r="E214" s="69">
        <v>45744</v>
      </c>
      <c r="F214" s="4"/>
      <c r="G214" s="4" t="s">
        <v>275</v>
      </c>
      <c r="H214" s="4"/>
      <c r="I214" s="4" t="s">
        <v>275</v>
      </c>
      <c r="J214" s="4"/>
      <c r="K214" s="69">
        <v>46109</v>
      </c>
      <c r="L214" s="4"/>
      <c r="M214" s="69">
        <v>46111</v>
      </c>
      <c r="N214" s="4"/>
    </row>
    <row r="215" spans="1:14" x14ac:dyDescent="0.25">
      <c r="A215" s="4">
        <v>212</v>
      </c>
      <c r="B215" s="4" t="s">
        <v>510</v>
      </c>
      <c r="C215" s="4" t="s">
        <v>628</v>
      </c>
      <c r="D215" s="4" t="s">
        <v>556</v>
      </c>
      <c r="E215" s="69">
        <v>45747</v>
      </c>
      <c r="F215" s="4"/>
      <c r="G215" s="4" t="s">
        <v>275</v>
      </c>
      <c r="H215" s="4"/>
      <c r="I215" s="4" t="s">
        <v>275</v>
      </c>
      <c r="J215" s="4"/>
      <c r="K215" s="69">
        <v>46112</v>
      </c>
      <c r="L215" s="4"/>
      <c r="M215" s="69">
        <v>46112</v>
      </c>
      <c r="N215" s="4"/>
    </row>
    <row r="216" spans="1:14" x14ac:dyDescent="0.25">
      <c r="A216" s="4">
        <v>213</v>
      </c>
      <c r="B216" s="4" t="s">
        <v>510</v>
      </c>
      <c r="C216" s="4" t="s">
        <v>629</v>
      </c>
      <c r="D216" s="4" t="s">
        <v>336</v>
      </c>
      <c r="E216" s="69">
        <v>45749</v>
      </c>
      <c r="F216" s="4"/>
      <c r="G216" s="4" t="s">
        <v>275</v>
      </c>
      <c r="H216" s="4"/>
      <c r="I216" s="4" t="s">
        <v>275</v>
      </c>
      <c r="J216" s="4"/>
      <c r="K216" s="69">
        <v>46114</v>
      </c>
      <c r="L216" s="4"/>
      <c r="M216" s="4"/>
      <c r="N216" s="4"/>
    </row>
    <row r="217" spans="1:14" x14ac:dyDescent="0.25">
      <c r="A217" s="4">
        <v>214</v>
      </c>
      <c r="B217" s="4" t="s">
        <v>510</v>
      </c>
      <c r="C217" s="4" t="s">
        <v>630</v>
      </c>
      <c r="D217" s="4" t="s">
        <v>344</v>
      </c>
      <c r="E217" s="69">
        <v>45749</v>
      </c>
      <c r="F217" s="4"/>
      <c r="G217" s="4" t="s">
        <v>275</v>
      </c>
      <c r="H217" s="4"/>
      <c r="I217" s="4" t="s">
        <v>275</v>
      </c>
      <c r="J217" s="4"/>
      <c r="K217" s="69">
        <v>46114</v>
      </c>
      <c r="L217" s="4"/>
      <c r="M217" s="4"/>
      <c r="N217" s="4"/>
    </row>
    <row r="218" spans="1:14" x14ac:dyDescent="0.25">
      <c r="A218" s="4">
        <v>215</v>
      </c>
      <c r="B218" s="4" t="s">
        <v>510</v>
      </c>
      <c r="C218" s="4" t="s">
        <v>631</v>
      </c>
      <c r="D218" s="4" t="s">
        <v>549</v>
      </c>
      <c r="E218" s="69">
        <v>45750</v>
      </c>
      <c r="F218" s="4"/>
      <c r="G218" s="4" t="s">
        <v>275</v>
      </c>
      <c r="H218" s="4"/>
      <c r="I218" s="69">
        <v>45925</v>
      </c>
      <c r="J218" s="4"/>
      <c r="K218" s="69">
        <v>46290</v>
      </c>
      <c r="L218" s="4"/>
      <c r="M218" s="4"/>
      <c r="N218" s="4"/>
    </row>
    <row r="219" spans="1:14" x14ac:dyDescent="0.25">
      <c r="A219" s="4">
        <v>216</v>
      </c>
      <c r="B219" s="71" t="s">
        <v>510</v>
      </c>
      <c r="C219" s="71" t="s">
        <v>632</v>
      </c>
      <c r="D219" s="71" t="s">
        <v>229</v>
      </c>
      <c r="E219" s="70">
        <v>45751</v>
      </c>
      <c r="F219" s="71"/>
      <c r="G219" s="71" t="s">
        <v>275</v>
      </c>
      <c r="H219" s="71"/>
      <c r="I219" s="71" t="s">
        <v>275</v>
      </c>
      <c r="J219" s="71"/>
      <c r="K219" s="69">
        <v>46116</v>
      </c>
      <c r="L219" s="4"/>
      <c r="M219" s="4"/>
      <c r="N219" s="4"/>
    </row>
    <row r="220" spans="1:14" x14ac:dyDescent="0.25">
      <c r="A220" s="4">
        <v>217</v>
      </c>
      <c r="B220" s="4" t="s">
        <v>510</v>
      </c>
      <c r="C220" s="4" t="s">
        <v>633</v>
      </c>
      <c r="D220" s="4" t="s">
        <v>437</v>
      </c>
      <c r="E220" s="69">
        <v>45751</v>
      </c>
      <c r="F220" s="4"/>
      <c r="G220" s="4" t="s">
        <v>275</v>
      </c>
      <c r="H220" s="4"/>
      <c r="I220" s="4" t="s">
        <v>275</v>
      </c>
      <c r="J220" s="4"/>
      <c r="K220" s="69">
        <v>46116</v>
      </c>
      <c r="L220" s="4"/>
      <c r="M220" s="4"/>
      <c r="N220" s="4"/>
    </row>
    <row r="221" spans="1:14" x14ac:dyDescent="0.25">
      <c r="A221" s="4">
        <v>218</v>
      </c>
      <c r="B221" s="4" t="s">
        <v>140</v>
      </c>
      <c r="C221" s="4" t="s">
        <v>634</v>
      </c>
      <c r="D221" s="4" t="s">
        <v>286</v>
      </c>
      <c r="E221" s="69">
        <v>45846</v>
      </c>
      <c r="F221" s="4"/>
      <c r="G221" s="4" t="s">
        <v>275</v>
      </c>
      <c r="H221" s="4"/>
      <c r="I221" s="4" t="s">
        <v>275</v>
      </c>
      <c r="J221" s="4"/>
      <c r="K221" s="69">
        <v>46211</v>
      </c>
      <c r="L221" s="4"/>
      <c r="M221" s="4"/>
      <c r="N221" s="4"/>
    </row>
    <row r="222" spans="1:14" x14ac:dyDescent="0.25">
      <c r="A222" s="4">
        <v>219</v>
      </c>
      <c r="B222" s="4" t="s">
        <v>140</v>
      </c>
      <c r="C222" s="4" t="s">
        <v>635</v>
      </c>
      <c r="D222" s="4" t="s">
        <v>267</v>
      </c>
      <c r="E222" s="69">
        <v>45780</v>
      </c>
      <c r="F222" s="4"/>
      <c r="G222" s="4" t="s">
        <v>275</v>
      </c>
      <c r="H222" s="4"/>
      <c r="I222" s="69">
        <v>45946</v>
      </c>
      <c r="J222" s="4"/>
      <c r="K222" s="69">
        <v>46145</v>
      </c>
      <c r="L222" s="4"/>
      <c r="M222" s="4"/>
      <c r="N222" s="4"/>
    </row>
    <row r="223" spans="1:14" x14ac:dyDescent="0.25">
      <c r="A223" s="4">
        <v>220</v>
      </c>
      <c r="B223" s="4" t="s">
        <v>510</v>
      </c>
      <c r="C223" s="4" t="s">
        <v>636</v>
      </c>
      <c r="D223" s="4" t="s">
        <v>286</v>
      </c>
      <c r="E223" s="69">
        <v>45781</v>
      </c>
      <c r="F223" s="4"/>
      <c r="G223" s="4" t="s">
        <v>275</v>
      </c>
      <c r="H223" s="4"/>
      <c r="I223" s="4" t="s">
        <v>275</v>
      </c>
      <c r="J223" s="4"/>
      <c r="K223" s="69">
        <v>46146</v>
      </c>
      <c r="L223" s="4"/>
      <c r="M223" s="4"/>
      <c r="N223" s="4"/>
    </row>
    <row r="224" spans="1:14" x14ac:dyDescent="0.25">
      <c r="A224" s="4">
        <v>221</v>
      </c>
      <c r="B224" s="4" t="s">
        <v>140</v>
      </c>
      <c r="C224" s="4" t="s">
        <v>637</v>
      </c>
      <c r="D224" s="4" t="s">
        <v>286</v>
      </c>
      <c r="E224" s="69">
        <v>45782</v>
      </c>
      <c r="F224" s="4"/>
      <c r="G224" s="4" t="s">
        <v>275</v>
      </c>
      <c r="H224" s="4"/>
      <c r="I224" s="4" t="s">
        <v>275</v>
      </c>
      <c r="J224" s="4"/>
      <c r="K224" s="69">
        <v>46147</v>
      </c>
      <c r="L224" s="4"/>
      <c r="M224" s="4"/>
      <c r="N224" s="4"/>
    </row>
    <row r="225" spans="1:14" x14ac:dyDescent="0.25">
      <c r="A225" s="4">
        <v>222</v>
      </c>
      <c r="B225" s="4" t="s">
        <v>140</v>
      </c>
      <c r="C225" s="4" t="s">
        <v>638</v>
      </c>
      <c r="D225" s="4" t="s">
        <v>286</v>
      </c>
      <c r="E225" s="69">
        <v>45786</v>
      </c>
      <c r="F225" s="4"/>
      <c r="G225" s="4" t="s">
        <v>275</v>
      </c>
      <c r="H225" s="4"/>
      <c r="I225" s="69">
        <v>45917</v>
      </c>
      <c r="J225" s="4"/>
      <c r="K225" s="69">
        <v>46282</v>
      </c>
      <c r="L225" s="4"/>
      <c r="M225" s="4"/>
      <c r="N225" s="4"/>
    </row>
    <row r="226" spans="1:14" x14ac:dyDescent="0.25">
      <c r="A226" s="4">
        <v>223</v>
      </c>
      <c r="B226" s="4" t="s">
        <v>140</v>
      </c>
      <c r="C226" s="4" t="s">
        <v>639</v>
      </c>
      <c r="D226" s="4" t="s">
        <v>286</v>
      </c>
      <c r="E226" s="69">
        <v>45789</v>
      </c>
      <c r="F226" s="4"/>
      <c r="G226" s="4" t="s">
        <v>275</v>
      </c>
      <c r="H226" s="4"/>
      <c r="I226" s="69">
        <v>45916</v>
      </c>
      <c r="J226" s="4"/>
      <c r="K226" s="69">
        <v>46281</v>
      </c>
      <c r="L226" s="4"/>
      <c r="M226" s="4"/>
      <c r="N226" s="4"/>
    </row>
    <row r="227" spans="1:14" x14ac:dyDescent="0.25">
      <c r="A227" s="4">
        <v>224</v>
      </c>
      <c r="B227" s="4" t="s">
        <v>510</v>
      </c>
      <c r="C227" s="4" t="s">
        <v>640</v>
      </c>
      <c r="D227" s="4" t="s">
        <v>286</v>
      </c>
      <c r="E227" s="69">
        <v>45814</v>
      </c>
      <c r="F227" s="4"/>
      <c r="G227" s="4" t="s">
        <v>275</v>
      </c>
      <c r="H227" s="4"/>
      <c r="I227" s="69">
        <v>45842</v>
      </c>
      <c r="J227" s="4"/>
      <c r="K227" s="69">
        <v>46207</v>
      </c>
      <c r="L227" s="4"/>
      <c r="M227" s="4"/>
      <c r="N227" s="4"/>
    </row>
    <row r="228" spans="1:14" x14ac:dyDescent="0.25">
      <c r="A228" s="4">
        <v>225</v>
      </c>
      <c r="B228" s="88" t="s">
        <v>140</v>
      </c>
      <c r="C228" s="88" t="s">
        <v>641</v>
      </c>
      <c r="D228" s="88" t="s">
        <v>286</v>
      </c>
      <c r="E228" s="89">
        <v>45848</v>
      </c>
      <c r="F228" s="88"/>
      <c r="G228" s="88" t="s">
        <v>275</v>
      </c>
      <c r="H228" s="88"/>
      <c r="I228" s="89">
        <v>45925</v>
      </c>
      <c r="J228" s="88"/>
      <c r="K228" s="89">
        <v>46290</v>
      </c>
      <c r="L228" s="88"/>
      <c r="M228" s="88"/>
      <c r="N228" s="88"/>
    </row>
    <row r="229" spans="1:14" x14ac:dyDescent="0.25">
      <c r="A229" s="4">
        <v>226</v>
      </c>
      <c r="B229" s="88" t="s">
        <v>470</v>
      </c>
      <c r="C229" s="88" t="s">
        <v>261</v>
      </c>
      <c r="D229" s="88" t="s">
        <v>257</v>
      </c>
      <c r="E229" s="89">
        <v>45853</v>
      </c>
      <c r="F229" s="88"/>
      <c r="G229" s="88" t="s">
        <v>275</v>
      </c>
      <c r="H229" s="88"/>
      <c r="I229" s="89">
        <v>45946</v>
      </c>
      <c r="J229" s="88"/>
      <c r="K229" s="89">
        <v>46311</v>
      </c>
      <c r="L229" s="88"/>
      <c r="M229" s="88"/>
      <c r="N229" s="88"/>
    </row>
    <row r="230" spans="1:14" ht="15.75" x14ac:dyDescent="0.25">
      <c r="A230" s="4">
        <v>227</v>
      </c>
      <c r="B230" s="88" t="s">
        <v>510</v>
      </c>
      <c r="C230" s="110" t="s">
        <v>642</v>
      </c>
      <c r="D230" s="88" t="s">
        <v>479</v>
      </c>
      <c r="E230" s="89">
        <v>45833</v>
      </c>
      <c r="F230" s="88"/>
      <c r="G230" s="88" t="s">
        <v>275</v>
      </c>
      <c r="H230" s="88"/>
      <c r="I230" s="88" t="s">
        <v>275</v>
      </c>
      <c r="J230" s="88"/>
      <c r="K230" s="89">
        <v>46198</v>
      </c>
      <c r="L230" s="88"/>
      <c r="M230" s="88"/>
      <c r="N230" s="88"/>
    </row>
    <row r="231" spans="1:14" x14ac:dyDescent="0.25">
      <c r="A231" s="4">
        <v>228</v>
      </c>
      <c r="B231" s="88" t="s">
        <v>643</v>
      </c>
      <c r="C231" s="88" t="s">
        <v>644</v>
      </c>
      <c r="D231" s="88" t="s">
        <v>561</v>
      </c>
      <c r="E231" s="89">
        <v>45832</v>
      </c>
      <c r="F231" s="88"/>
      <c r="G231" s="88" t="s">
        <v>275</v>
      </c>
      <c r="H231" s="88"/>
      <c r="I231" s="89">
        <v>45968</v>
      </c>
      <c r="J231" s="88"/>
      <c r="K231" s="89">
        <v>46333</v>
      </c>
      <c r="L231" s="88"/>
      <c r="M231" s="88"/>
      <c r="N231" s="88"/>
    </row>
    <row r="232" spans="1:14" ht="15.75" x14ac:dyDescent="0.25">
      <c r="A232" s="4">
        <v>229</v>
      </c>
      <c r="B232" s="37" t="s">
        <v>643</v>
      </c>
      <c r="C232" s="111" t="s">
        <v>645</v>
      </c>
      <c r="D232" s="37" t="s">
        <v>556</v>
      </c>
      <c r="E232" s="75">
        <v>45691</v>
      </c>
      <c r="F232" s="37"/>
      <c r="G232" s="37" t="s">
        <v>275</v>
      </c>
      <c r="H232" s="37"/>
      <c r="I232" s="37" t="s">
        <v>275</v>
      </c>
      <c r="J232" s="37"/>
      <c r="K232" s="75">
        <v>46063</v>
      </c>
      <c r="L232" s="37"/>
      <c r="M232" s="75">
        <v>46063</v>
      </c>
      <c r="N232" s="76"/>
    </row>
    <row r="233" spans="1:14" ht="15.75" x14ac:dyDescent="0.25">
      <c r="A233" s="4">
        <v>230</v>
      </c>
      <c r="B233" s="112" t="s">
        <v>643</v>
      </c>
      <c r="C233" s="113" t="s">
        <v>646</v>
      </c>
      <c r="D233" s="112" t="s">
        <v>286</v>
      </c>
      <c r="E233" s="114">
        <v>45748</v>
      </c>
      <c r="F233" s="115"/>
      <c r="G233" s="115" t="s">
        <v>275</v>
      </c>
      <c r="H233" s="115"/>
      <c r="I233" s="112" t="s">
        <v>275</v>
      </c>
      <c r="J233" s="112"/>
      <c r="K233" s="112"/>
      <c r="L233" s="90"/>
      <c r="M233" s="112"/>
      <c r="N233" s="116" t="s">
        <v>647</v>
      </c>
    </row>
    <row r="234" spans="1:14" ht="15.75" x14ac:dyDescent="0.25">
      <c r="A234" s="4">
        <v>231</v>
      </c>
      <c r="B234" s="4" t="s">
        <v>643</v>
      </c>
      <c r="C234" s="85" t="s">
        <v>648</v>
      </c>
      <c r="D234" s="4" t="s">
        <v>286</v>
      </c>
      <c r="E234" s="69">
        <v>45841</v>
      </c>
      <c r="F234" s="88"/>
      <c r="G234" s="88" t="s">
        <v>275</v>
      </c>
      <c r="H234" s="88"/>
      <c r="I234" s="4" t="s">
        <v>275</v>
      </c>
      <c r="J234" s="4"/>
      <c r="K234" s="69">
        <v>46206</v>
      </c>
      <c r="L234" s="4"/>
      <c r="M234" s="4"/>
      <c r="N234" s="4"/>
    </row>
    <row r="235" spans="1:14" ht="15.75" x14ac:dyDescent="0.25">
      <c r="A235" s="4">
        <v>232</v>
      </c>
      <c r="B235" s="4" t="s">
        <v>643</v>
      </c>
      <c r="C235" s="85" t="s">
        <v>649</v>
      </c>
      <c r="D235" s="4" t="s">
        <v>286</v>
      </c>
      <c r="E235" s="69">
        <v>45905</v>
      </c>
      <c r="F235" s="88"/>
      <c r="G235" s="88" t="s">
        <v>275</v>
      </c>
      <c r="H235" s="88"/>
      <c r="I235" s="4" t="s">
        <v>275</v>
      </c>
      <c r="J235" s="4"/>
      <c r="K235" s="69">
        <v>46270</v>
      </c>
      <c r="L235" s="4"/>
      <c r="M235" s="4"/>
      <c r="N235" s="4"/>
    </row>
    <row r="236" spans="1:14" ht="15.75" x14ac:dyDescent="0.25">
      <c r="A236" s="4">
        <v>233</v>
      </c>
      <c r="B236" s="4" t="s">
        <v>643</v>
      </c>
      <c r="C236" s="85" t="s">
        <v>650</v>
      </c>
      <c r="D236" s="4" t="s">
        <v>556</v>
      </c>
      <c r="E236" s="69">
        <v>45798</v>
      </c>
      <c r="F236" s="88"/>
      <c r="G236" s="88" t="s">
        <v>275</v>
      </c>
      <c r="H236" s="88"/>
      <c r="I236" s="4" t="s">
        <v>275</v>
      </c>
      <c r="J236" s="4"/>
      <c r="K236" s="69">
        <v>46163</v>
      </c>
      <c r="L236" s="4"/>
      <c r="M236" s="4"/>
      <c r="N236" s="4"/>
    </row>
    <row r="237" spans="1:14" ht="15.75" x14ac:dyDescent="0.25">
      <c r="A237" s="4">
        <v>234</v>
      </c>
      <c r="B237" s="4" t="s">
        <v>643</v>
      </c>
      <c r="C237" s="85" t="s">
        <v>651</v>
      </c>
      <c r="D237" s="4" t="s">
        <v>286</v>
      </c>
      <c r="E237" s="69">
        <v>45841</v>
      </c>
      <c r="F237" s="88"/>
      <c r="G237" s="88" t="s">
        <v>275</v>
      </c>
      <c r="H237" s="88"/>
      <c r="I237" s="4" t="s">
        <v>275</v>
      </c>
      <c r="J237" s="4"/>
      <c r="K237" s="69">
        <v>46206</v>
      </c>
      <c r="L237" s="4"/>
      <c r="M237" s="4"/>
      <c r="N237" s="4"/>
    </row>
    <row r="238" spans="1:14" ht="15.75" x14ac:dyDescent="0.25">
      <c r="A238" s="4">
        <v>235</v>
      </c>
      <c r="B238" s="4" t="s">
        <v>643</v>
      </c>
      <c r="C238" s="85" t="s">
        <v>652</v>
      </c>
      <c r="D238" s="4" t="s">
        <v>286</v>
      </c>
      <c r="E238" s="69">
        <v>45832</v>
      </c>
      <c r="F238" s="88"/>
      <c r="G238" s="88" t="s">
        <v>275</v>
      </c>
      <c r="H238" s="88"/>
      <c r="I238" s="4" t="s">
        <v>275</v>
      </c>
      <c r="J238" s="4"/>
      <c r="K238" s="69">
        <v>46197</v>
      </c>
      <c r="L238" s="4"/>
      <c r="M238" s="4"/>
      <c r="N238" s="4"/>
    </row>
    <row r="239" spans="1:14" ht="15.75" x14ac:dyDescent="0.25">
      <c r="A239" s="4">
        <v>236</v>
      </c>
      <c r="B239" s="4" t="s">
        <v>643</v>
      </c>
      <c r="C239" s="85" t="s">
        <v>653</v>
      </c>
      <c r="D239" s="4" t="s">
        <v>556</v>
      </c>
      <c r="E239" s="69">
        <v>45799</v>
      </c>
      <c r="F239" s="88"/>
      <c r="G239" s="88" t="s">
        <v>275</v>
      </c>
      <c r="H239" s="88"/>
      <c r="I239" s="4" t="s">
        <v>275</v>
      </c>
      <c r="J239" s="4"/>
      <c r="K239" s="69">
        <v>46164</v>
      </c>
      <c r="L239" s="4"/>
      <c r="M239" s="4"/>
      <c r="N239" s="4"/>
    </row>
    <row r="240" spans="1:14" ht="15.75" x14ac:dyDescent="0.25">
      <c r="A240" s="4">
        <v>237</v>
      </c>
      <c r="B240" s="4" t="s">
        <v>643</v>
      </c>
      <c r="C240" s="85" t="s">
        <v>654</v>
      </c>
      <c r="D240" s="4" t="s">
        <v>398</v>
      </c>
      <c r="E240" s="69">
        <v>45772</v>
      </c>
      <c r="F240" s="4"/>
      <c r="G240" s="4" t="s">
        <v>275</v>
      </c>
      <c r="H240" s="4"/>
      <c r="I240" s="4" t="s">
        <v>275</v>
      </c>
      <c r="J240" s="4"/>
      <c r="K240" s="69">
        <v>46137</v>
      </c>
      <c r="L240" s="4"/>
      <c r="M240" s="4"/>
      <c r="N240" s="4"/>
    </row>
    <row r="241" spans="1:14" ht="15.75" x14ac:dyDescent="0.25">
      <c r="A241" s="4">
        <v>238</v>
      </c>
      <c r="B241" s="88" t="s">
        <v>643</v>
      </c>
      <c r="C241" s="110" t="s">
        <v>655</v>
      </c>
      <c r="D241" s="88" t="s">
        <v>286</v>
      </c>
      <c r="E241" s="104">
        <v>45848</v>
      </c>
      <c r="F241" s="103"/>
      <c r="G241" s="103" t="s">
        <v>275</v>
      </c>
      <c r="H241" s="103"/>
      <c r="I241" s="103" t="s">
        <v>275</v>
      </c>
      <c r="J241" s="103"/>
      <c r="K241" s="89">
        <v>46213</v>
      </c>
      <c r="L241" s="88"/>
      <c r="M241" s="88"/>
      <c r="N241" s="88"/>
    </row>
    <row r="242" spans="1:14" ht="15.75" x14ac:dyDescent="0.25">
      <c r="A242" s="4">
        <v>239</v>
      </c>
      <c r="B242" s="4" t="s">
        <v>474</v>
      </c>
      <c r="C242" s="85" t="s">
        <v>391</v>
      </c>
      <c r="D242" s="71" t="s">
        <v>561</v>
      </c>
      <c r="E242" s="69">
        <v>45857</v>
      </c>
      <c r="F242" s="4"/>
      <c r="G242" s="4" t="s">
        <v>275</v>
      </c>
      <c r="H242" s="4"/>
      <c r="I242" s="69">
        <v>45967</v>
      </c>
      <c r="J242" s="4"/>
      <c r="K242" s="69">
        <v>46332</v>
      </c>
      <c r="L242" s="4"/>
      <c r="M242" s="4"/>
      <c r="N242" s="4"/>
    </row>
    <row r="243" spans="1:14" ht="15.75" x14ac:dyDescent="0.25">
      <c r="A243" s="4">
        <v>240</v>
      </c>
      <c r="B243" s="4" t="s">
        <v>474</v>
      </c>
      <c r="C243" s="85" t="s">
        <v>393</v>
      </c>
      <c r="D243" s="71" t="s">
        <v>561</v>
      </c>
      <c r="E243" s="69">
        <v>45857</v>
      </c>
      <c r="F243" s="4"/>
      <c r="G243" s="4" t="s">
        <v>275</v>
      </c>
      <c r="H243" s="4"/>
      <c r="I243" s="69">
        <v>45966</v>
      </c>
      <c r="J243" s="4"/>
      <c r="K243" s="69">
        <v>46331</v>
      </c>
      <c r="L243" s="4"/>
      <c r="M243" s="4"/>
      <c r="N243" s="4"/>
    </row>
    <row r="244" spans="1:14" ht="15.75" x14ac:dyDescent="0.25">
      <c r="A244" s="4">
        <v>241</v>
      </c>
      <c r="B244" s="92" t="s">
        <v>474</v>
      </c>
      <c r="C244" s="117" t="s">
        <v>412</v>
      </c>
      <c r="D244" s="92" t="s">
        <v>398</v>
      </c>
      <c r="E244" s="93">
        <v>45828</v>
      </c>
      <c r="F244" s="103"/>
      <c r="G244" s="103" t="s">
        <v>275</v>
      </c>
      <c r="H244" s="103"/>
      <c r="I244" s="92" t="s">
        <v>275</v>
      </c>
      <c r="J244" s="92"/>
      <c r="K244" s="93">
        <v>46193</v>
      </c>
      <c r="L244" s="92"/>
      <c r="M244" s="92"/>
      <c r="N244" s="92"/>
    </row>
    <row r="245" spans="1:14" ht="15.75" x14ac:dyDescent="0.25">
      <c r="A245" s="4">
        <v>242</v>
      </c>
      <c r="B245" s="4" t="s">
        <v>474</v>
      </c>
      <c r="C245" s="85" t="s">
        <v>185</v>
      </c>
      <c r="D245" s="4" t="s">
        <v>478</v>
      </c>
      <c r="E245" s="69">
        <v>45889</v>
      </c>
      <c r="F245" s="88"/>
      <c r="G245" s="88" t="s">
        <v>275</v>
      </c>
      <c r="H245" s="88"/>
      <c r="I245" s="4" t="s">
        <v>275</v>
      </c>
      <c r="J245" s="4"/>
      <c r="K245" s="69">
        <v>46254</v>
      </c>
      <c r="L245" s="4"/>
      <c r="M245" s="4"/>
      <c r="N245" s="4"/>
    </row>
    <row r="246" spans="1:14" ht="15.75" x14ac:dyDescent="0.25">
      <c r="A246" s="4">
        <v>243</v>
      </c>
      <c r="B246" s="4" t="s">
        <v>474</v>
      </c>
      <c r="C246" s="85" t="s">
        <v>420</v>
      </c>
      <c r="D246" s="4" t="s">
        <v>398</v>
      </c>
      <c r="E246" s="69">
        <v>45832</v>
      </c>
      <c r="F246" s="88"/>
      <c r="G246" s="88" t="s">
        <v>275</v>
      </c>
      <c r="H246" s="88"/>
      <c r="I246" s="4" t="s">
        <v>275</v>
      </c>
      <c r="J246" s="4"/>
      <c r="K246" s="69">
        <v>46197</v>
      </c>
      <c r="L246" s="4"/>
      <c r="M246" s="4"/>
      <c r="N246" s="4"/>
    </row>
    <row r="247" spans="1:14" ht="15.75" x14ac:dyDescent="0.25">
      <c r="A247" s="4">
        <v>244</v>
      </c>
      <c r="B247" s="88" t="s">
        <v>474</v>
      </c>
      <c r="C247" s="110" t="s">
        <v>433</v>
      </c>
      <c r="D247" s="88" t="s">
        <v>398</v>
      </c>
      <c r="E247" s="89">
        <v>45834</v>
      </c>
      <c r="F247" s="88"/>
      <c r="G247" s="88" t="s">
        <v>275</v>
      </c>
      <c r="H247" s="88"/>
      <c r="I247" s="88" t="s">
        <v>275</v>
      </c>
      <c r="J247" s="88"/>
      <c r="K247" s="89">
        <v>46199</v>
      </c>
      <c r="L247" s="88"/>
      <c r="M247" s="88"/>
      <c r="N247" s="88"/>
    </row>
    <row r="248" spans="1:14" ht="15.75" x14ac:dyDescent="0.25">
      <c r="A248" s="4">
        <v>245</v>
      </c>
      <c r="B248" s="4" t="s">
        <v>474</v>
      </c>
      <c r="C248" s="85" t="s">
        <v>356</v>
      </c>
      <c r="D248" s="4" t="s">
        <v>479</v>
      </c>
      <c r="E248" s="69">
        <v>45860</v>
      </c>
      <c r="F248" s="4"/>
      <c r="G248" s="4" t="s">
        <v>275</v>
      </c>
      <c r="H248" s="4"/>
      <c r="I248" s="4" t="s">
        <v>275</v>
      </c>
      <c r="J248" s="4"/>
      <c r="K248" s="69">
        <v>46225</v>
      </c>
      <c r="L248" s="4"/>
      <c r="M248" s="4"/>
      <c r="N248" s="4"/>
    </row>
    <row r="249" spans="1:14" ht="15.75" x14ac:dyDescent="0.25">
      <c r="A249" s="4">
        <v>246</v>
      </c>
      <c r="B249" s="103" t="s">
        <v>474</v>
      </c>
      <c r="C249" s="118" t="s">
        <v>303</v>
      </c>
      <c r="D249" s="103" t="s">
        <v>286</v>
      </c>
      <c r="E249" s="104">
        <v>45846</v>
      </c>
      <c r="F249" s="103"/>
      <c r="G249" s="103" t="s">
        <v>275</v>
      </c>
      <c r="H249" s="103"/>
      <c r="I249" s="103" t="s">
        <v>275</v>
      </c>
      <c r="J249" s="103"/>
      <c r="K249" s="104">
        <v>46211</v>
      </c>
      <c r="L249" s="103"/>
      <c r="M249" s="103"/>
      <c r="N249" s="103"/>
    </row>
    <row r="250" spans="1:14" ht="15.75" x14ac:dyDescent="0.25">
      <c r="A250" s="4">
        <v>247</v>
      </c>
      <c r="B250" s="4" t="s">
        <v>474</v>
      </c>
      <c r="C250" s="85" t="s">
        <v>521</v>
      </c>
      <c r="D250" s="4" t="s">
        <v>398</v>
      </c>
      <c r="E250" s="69">
        <v>45355</v>
      </c>
      <c r="F250" s="4"/>
      <c r="G250" s="4" t="s">
        <v>275</v>
      </c>
      <c r="H250" s="4"/>
      <c r="I250" s="4" t="s">
        <v>275</v>
      </c>
      <c r="J250" s="4"/>
      <c r="K250" s="69">
        <v>46085</v>
      </c>
      <c r="L250" s="4"/>
      <c r="M250" s="69">
        <v>46085</v>
      </c>
      <c r="N250" s="4"/>
    </row>
    <row r="251" spans="1:14" ht="15.75" x14ac:dyDescent="0.25">
      <c r="A251" s="4">
        <v>248</v>
      </c>
      <c r="B251" s="4" t="s">
        <v>474</v>
      </c>
      <c r="C251" s="85" t="s">
        <v>656</v>
      </c>
      <c r="D251" s="4" t="s">
        <v>398</v>
      </c>
      <c r="E251" s="69">
        <v>45868</v>
      </c>
      <c r="F251" s="4"/>
      <c r="G251" s="4" t="s">
        <v>275</v>
      </c>
      <c r="H251" s="4"/>
      <c r="I251" s="4" t="s">
        <v>275</v>
      </c>
      <c r="J251" s="4"/>
      <c r="K251" s="69">
        <v>46233</v>
      </c>
      <c r="L251" s="4"/>
      <c r="M251" s="4"/>
      <c r="N251" s="4"/>
    </row>
    <row r="252" spans="1:14" ht="15.75" x14ac:dyDescent="0.25">
      <c r="A252" s="4">
        <v>249</v>
      </c>
      <c r="B252" s="4" t="s">
        <v>474</v>
      </c>
      <c r="C252" s="85" t="s">
        <v>540</v>
      </c>
      <c r="D252" s="4" t="s">
        <v>398</v>
      </c>
      <c r="E252" s="69">
        <v>45721</v>
      </c>
      <c r="F252" s="4"/>
      <c r="G252" s="4" t="s">
        <v>275</v>
      </c>
      <c r="H252" s="4"/>
      <c r="I252" s="4" t="s">
        <v>275</v>
      </c>
      <c r="J252" s="4"/>
      <c r="K252" s="69">
        <v>46086</v>
      </c>
      <c r="L252" s="4"/>
      <c r="M252" s="69">
        <v>46094</v>
      </c>
      <c r="N252" s="4"/>
    </row>
    <row r="253" spans="1:14" ht="15.75" x14ac:dyDescent="0.25">
      <c r="A253" s="4">
        <v>250</v>
      </c>
      <c r="B253" s="4" t="s">
        <v>474</v>
      </c>
      <c r="C253" s="85" t="s">
        <v>434</v>
      </c>
      <c r="D253" s="4" t="s">
        <v>398</v>
      </c>
      <c r="E253" s="69">
        <v>45823</v>
      </c>
      <c r="F253" s="4"/>
      <c r="G253" s="4" t="s">
        <v>275</v>
      </c>
      <c r="H253" s="4"/>
      <c r="I253" s="4" t="s">
        <v>275</v>
      </c>
      <c r="J253" s="4"/>
      <c r="K253" s="69">
        <v>46188</v>
      </c>
      <c r="L253" s="4"/>
      <c r="M253" s="4"/>
      <c r="N253" s="4"/>
    </row>
    <row r="254" spans="1:14" ht="15.75" x14ac:dyDescent="0.25">
      <c r="A254" s="4">
        <v>251</v>
      </c>
      <c r="B254" s="4" t="s">
        <v>474</v>
      </c>
      <c r="C254" s="85" t="s">
        <v>432</v>
      </c>
      <c r="D254" s="4" t="s">
        <v>398</v>
      </c>
      <c r="E254" s="69">
        <v>45856</v>
      </c>
      <c r="F254" s="4"/>
      <c r="G254" s="4" t="s">
        <v>275</v>
      </c>
      <c r="H254" s="4"/>
      <c r="I254" s="4" t="s">
        <v>275</v>
      </c>
      <c r="J254" s="4"/>
      <c r="K254" s="69">
        <v>46221</v>
      </c>
      <c r="L254" s="4"/>
      <c r="M254" s="4"/>
      <c r="N254" s="4"/>
    </row>
    <row r="255" spans="1:14" ht="15.75" x14ac:dyDescent="0.25">
      <c r="A255" s="4">
        <v>252</v>
      </c>
      <c r="B255" s="92" t="s">
        <v>474</v>
      </c>
      <c r="C255" s="117" t="s">
        <v>297</v>
      </c>
      <c r="D255" s="92" t="s">
        <v>286</v>
      </c>
      <c r="E255" s="93">
        <v>45854</v>
      </c>
      <c r="F255" s="103"/>
      <c r="G255" s="103" t="s">
        <v>275</v>
      </c>
      <c r="H255" s="103"/>
      <c r="I255" s="92" t="s">
        <v>275</v>
      </c>
      <c r="J255" s="92"/>
      <c r="K255" s="93">
        <v>46219</v>
      </c>
      <c r="L255" s="92"/>
      <c r="M255" s="92"/>
      <c r="N255" s="92"/>
    </row>
    <row r="256" spans="1:14" ht="15.75" x14ac:dyDescent="0.25">
      <c r="A256" s="4">
        <v>253</v>
      </c>
      <c r="B256" s="4" t="s">
        <v>474</v>
      </c>
      <c r="C256" s="85" t="s">
        <v>285</v>
      </c>
      <c r="D256" s="4" t="s">
        <v>249</v>
      </c>
      <c r="E256" s="119">
        <v>45908</v>
      </c>
      <c r="F256" s="2"/>
      <c r="G256" s="88" t="s">
        <v>275</v>
      </c>
      <c r="H256" s="88"/>
      <c r="I256" s="4" t="s">
        <v>275</v>
      </c>
      <c r="J256" s="4"/>
      <c r="K256" s="69">
        <v>46273</v>
      </c>
      <c r="L256" s="4"/>
      <c r="M256" s="4"/>
      <c r="N256" s="4"/>
    </row>
    <row r="257" spans="1:14" ht="15.75" x14ac:dyDescent="0.25">
      <c r="A257" s="4">
        <v>254</v>
      </c>
      <c r="B257" s="4" t="s">
        <v>474</v>
      </c>
      <c r="C257" s="85" t="s">
        <v>183</v>
      </c>
      <c r="D257" s="4" t="s">
        <v>249</v>
      </c>
      <c r="E257" s="69">
        <v>45893</v>
      </c>
      <c r="F257" s="88"/>
      <c r="G257" s="88" t="s">
        <v>275</v>
      </c>
      <c r="H257" s="88"/>
      <c r="I257" s="4" t="s">
        <v>275</v>
      </c>
      <c r="J257" s="4"/>
      <c r="K257" s="69">
        <v>46258</v>
      </c>
      <c r="L257" s="4"/>
      <c r="M257" s="4"/>
      <c r="N257" s="4"/>
    </row>
    <row r="258" spans="1:14" ht="15.75" x14ac:dyDescent="0.25">
      <c r="A258" s="4">
        <v>255</v>
      </c>
      <c r="B258" s="88" t="s">
        <v>474</v>
      </c>
      <c r="C258" s="110" t="s">
        <v>444</v>
      </c>
      <c r="D258" s="88" t="s">
        <v>443</v>
      </c>
      <c r="E258" s="89">
        <v>45355</v>
      </c>
      <c r="F258" s="88"/>
      <c r="G258" s="88" t="s">
        <v>275</v>
      </c>
      <c r="H258" s="88"/>
      <c r="I258" s="88" t="s">
        <v>275</v>
      </c>
      <c r="J258" s="88"/>
      <c r="K258" s="89">
        <v>46085</v>
      </c>
      <c r="L258" s="88"/>
      <c r="M258" s="120">
        <v>46085</v>
      </c>
      <c r="N258" s="88"/>
    </row>
    <row r="259" spans="1:14" ht="15.75" x14ac:dyDescent="0.25">
      <c r="A259" s="4">
        <v>256</v>
      </c>
      <c r="B259" s="4" t="s">
        <v>474</v>
      </c>
      <c r="C259" s="85" t="s">
        <v>407</v>
      </c>
      <c r="D259" s="4" t="s">
        <v>398</v>
      </c>
      <c r="E259" s="69">
        <v>45846</v>
      </c>
      <c r="F259" s="4"/>
      <c r="G259" s="4" t="s">
        <v>275</v>
      </c>
      <c r="H259" s="4"/>
      <c r="I259" s="4" t="s">
        <v>275</v>
      </c>
      <c r="J259" s="4"/>
      <c r="K259" s="69">
        <v>46211</v>
      </c>
      <c r="L259" s="4"/>
      <c r="M259" s="4"/>
      <c r="N259" s="4"/>
    </row>
    <row r="260" spans="1:14" ht="15.75" x14ac:dyDescent="0.25">
      <c r="A260" s="4">
        <v>257</v>
      </c>
      <c r="B260" s="4" t="s">
        <v>474</v>
      </c>
      <c r="C260" s="85" t="s">
        <v>657</v>
      </c>
      <c r="D260" s="4" t="s">
        <v>398</v>
      </c>
      <c r="E260" s="69">
        <v>45821</v>
      </c>
      <c r="F260" s="4"/>
      <c r="G260" s="4" t="s">
        <v>275</v>
      </c>
      <c r="H260" s="4"/>
      <c r="I260" s="4" t="s">
        <v>275</v>
      </c>
      <c r="J260" s="4"/>
      <c r="K260" s="69">
        <v>46186</v>
      </c>
      <c r="L260" s="4"/>
      <c r="M260" s="4"/>
      <c r="N260" s="4"/>
    </row>
    <row r="261" spans="1:14" ht="15.75" x14ac:dyDescent="0.25">
      <c r="A261" s="4">
        <v>258</v>
      </c>
      <c r="B261" s="4" t="s">
        <v>474</v>
      </c>
      <c r="C261" s="85" t="s">
        <v>658</v>
      </c>
      <c r="D261" s="4" t="s">
        <v>398</v>
      </c>
      <c r="E261" s="69">
        <v>45826</v>
      </c>
      <c r="F261" s="4"/>
      <c r="G261" s="4" t="s">
        <v>275</v>
      </c>
      <c r="H261" s="4"/>
      <c r="I261" s="4" t="s">
        <v>275</v>
      </c>
      <c r="J261" s="4"/>
      <c r="K261" s="69">
        <v>46191</v>
      </c>
      <c r="L261" s="4"/>
      <c r="M261" s="4"/>
      <c r="N261" s="4"/>
    </row>
    <row r="262" spans="1:14" ht="15.75" x14ac:dyDescent="0.25">
      <c r="A262" s="4">
        <v>259</v>
      </c>
      <c r="B262" s="4" t="s">
        <v>474</v>
      </c>
      <c r="C262" s="85" t="s">
        <v>414</v>
      </c>
      <c r="D262" s="4" t="s">
        <v>398</v>
      </c>
      <c r="E262" s="69">
        <v>45793</v>
      </c>
      <c r="F262" s="4"/>
      <c r="G262" s="4" t="s">
        <v>275</v>
      </c>
      <c r="H262" s="4"/>
      <c r="I262" s="4" t="s">
        <v>275</v>
      </c>
      <c r="J262" s="4"/>
      <c r="K262" s="121">
        <v>46158</v>
      </c>
      <c r="L262" s="122"/>
      <c r="M262" s="122"/>
      <c r="N262" s="4"/>
    </row>
    <row r="263" spans="1:14" ht="15.75" x14ac:dyDescent="0.25">
      <c r="A263" s="4">
        <v>260</v>
      </c>
      <c r="B263" s="103" t="s">
        <v>474</v>
      </c>
      <c r="C263" s="118" t="s">
        <v>471</v>
      </c>
      <c r="D263" s="103" t="s">
        <v>286</v>
      </c>
      <c r="E263" s="104">
        <v>45894</v>
      </c>
      <c r="F263" s="103"/>
      <c r="G263" s="103" t="s">
        <v>275</v>
      </c>
      <c r="H263" s="103"/>
      <c r="I263" s="103" t="s">
        <v>275</v>
      </c>
      <c r="J263" s="103"/>
      <c r="K263" s="104">
        <v>46259</v>
      </c>
      <c r="L263" s="103"/>
      <c r="M263" s="103"/>
      <c r="N263" s="103"/>
    </row>
    <row r="264" spans="1:14" ht="15.75" x14ac:dyDescent="0.25">
      <c r="A264" s="4">
        <v>261</v>
      </c>
      <c r="B264" s="4" t="s">
        <v>474</v>
      </c>
      <c r="C264" s="85" t="s">
        <v>196</v>
      </c>
      <c r="D264" s="4" t="s">
        <v>398</v>
      </c>
      <c r="E264" s="69">
        <v>45855</v>
      </c>
      <c r="F264" s="4"/>
      <c r="G264" s="4" t="s">
        <v>275</v>
      </c>
      <c r="H264" s="4"/>
      <c r="I264" s="4" t="s">
        <v>275</v>
      </c>
      <c r="J264" s="4"/>
      <c r="K264" s="69">
        <v>46220</v>
      </c>
      <c r="L264" s="4"/>
      <c r="M264" s="4"/>
      <c r="N264" s="4"/>
    </row>
    <row r="265" spans="1:14" ht="15.75" x14ac:dyDescent="0.25">
      <c r="A265" s="4">
        <v>262</v>
      </c>
      <c r="B265" s="4" t="s">
        <v>474</v>
      </c>
      <c r="C265" s="85" t="s">
        <v>421</v>
      </c>
      <c r="D265" s="4" t="s">
        <v>398</v>
      </c>
      <c r="E265" s="69">
        <v>45827</v>
      </c>
      <c r="F265" s="4"/>
      <c r="G265" s="4" t="s">
        <v>275</v>
      </c>
      <c r="H265" s="4"/>
      <c r="I265" s="4" t="s">
        <v>275</v>
      </c>
      <c r="J265" s="4"/>
      <c r="K265" s="69">
        <v>46192</v>
      </c>
      <c r="L265" s="4"/>
      <c r="M265" s="4"/>
      <c r="N265" s="4"/>
    </row>
    <row r="266" spans="1:14" ht="15.75" x14ac:dyDescent="0.25">
      <c r="A266" s="4">
        <v>263</v>
      </c>
      <c r="B266" s="4" t="s">
        <v>474</v>
      </c>
      <c r="C266" s="85" t="s">
        <v>415</v>
      </c>
      <c r="D266" s="4" t="s">
        <v>398</v>
      </c>
      <c r="E266" s="69">
        <v>45896</v>
      </c>
      <c r="F266" s="4"/>
      <c r="G266" s="4" t="s">
        <v>275</v>
      </c>
      <c r="H266" s="4"/>
      <c r="I266" s="4" t="s">
        <v>275</v>
      </c>
      <c r="J266" s="4"/>
      <c r="K266" s="69">
        <v>46261</v>
      </c>
      <c r="L266" s="4"/>
      <c r="M266" s="4"/>
      <c r="N266" s="4"/>
    </row>
    <row r="267" spans="1:14" ht="15.75" x14ac:dyDescent="0.25">
      <c r="A267" s="4">
        <v>264</v>
      </c>
      <c r="B267" s="4" t="s">
        <v>474</v>
      </c>
      <c r="C267" s="85" t="s">
        <v>429</v>
      </c>
      <c r="D267" s="4" t="s">
        <v>398</v>
      </c>
      <c r="E267" s="69">
        <v>45794</v>
      </c>
      <c r="F267" s="4"/>
      <c r="G267" s="4" t="s">
        <v>275</v>
      </c>
      <c r="H267" s="4"/>
      <c r="I267" s="4" t="s">
        <v>275</v>
      </c>
      <c r="J267" s="4"/>
      <c r="K267" s="69">
        <v>46159</v>
      </c>
      <c r="L267" s="4"/>
      <c r="M267" s="4"/>
      <c r="N267" s="4"/>
    </row>
    <row r="268" spans="1:14" ht="15.75" x14ac:dyDescent="0.25">
      <c r="A268" s="4">
        <v>265</v>
      </c>
      <c r="B268" s="123" t="s">
        <v>474</v>
      </c>
      <c r="C268" s="118" t="s">
        <v>350</v>
      </c>
      <c r="D268" s="103" t="s">
        <v>349</v>
      </c>
      <c r="E268" s="104">
        <v>45916</v>
      </c>
      <c r="F268" s="103"/>
      <c r="G268" s="103" t="s">
        <v>275</v>
      </c>
      <c r="H268" s="103"/>
      <c r="I268" s="104">
        <v>45926</v>
      </c>
      <c r="J268" s="103"/>
      <c r="K268" s="104">
        <v>46291</v>
      </c>
      <c r="L268" s="103"/>
      <c r="M268" s="103"/>
      <c r="N268" s="103"/>
    </row>
    <row r="269" spans="1:14" ht="15.75" x14ac:dyDescent="0.25">
      <c r="A269" s="4">
        <v>266</v>
      </c>
      <c r="B269" s="88" t="s">
        <v>474</v>
      </c>
      <c r="C269" s="110" t="s">
        <v>355</v>
      </c>
      <c r="D269" s="88" t="s">
        <v>479</v>
      </c>
      <c r="E269" s="89">
        <v>45807</v>
      </c>
      <c r="F269" s="88"/>
      <c r="G269" s="88" t="s">
        <v>275</v>
      </c>
      <c r="H269" s="88"/>
      <c r="I269" s="88" t="s">
        <v>275</v>
      </c>
      <c r="J269" s="88"/>
      <c r="K269" s="89">
        <v>46172</v>
      </c>
      <c r="L269" s="88"/>
      <c r="M269" s="88"/>
      <c r="N269" s="88"/>
    </row>
    <row r="270" spans="1:14" ht="15.75" x14ac:dyDescent="0.25">
      <c r="A270" s="4">
        <v>267</v>
      </c>
      <c r="B270" s="4" t="s">
        <v>474</v>
      </c>
      <c r="C270" s="85" t="s">
        <v>182</v>
      </c>
      <c r="D270" s="4" t="s">
        <v>659</v>
      </c>
      <c r="E270" s="69">
        <v>45894</v>
      </c>
      <c r="F270" s="4"/>
      <c r="G270" s="4" t="s">
        <v>275</v>
      </c>
      <c r="H270" s="4"/>
      <c r="I270" s="4" t="s">
        <v>275</v>
      </c>
      <c r="J270" s="4"/>
      <c r="K270" s="69">
        <v>46259</v>
      </c>
      <c r="L270" s="4"/>
      <c r="M270" s="4"/>
      <c r="N270" s="4"/>
    </row>
    <row r="271" spans="1:14" ht="15.75" x14ac:dyDescent="0.25">
      <c r="A271" s="4">
        <v>268</v>
      </c>
      <c r="B271" s="92" t="s">
        <v>474</v>
      </c>
      <c r="C271" s="117" t="s">
        <v>660</v>
      </c>
      <c r="D271" s="92" t="s">
        <v>478</v>
      </c>
      <c r="E271" s="93">
        <v>45917</v>
      </c>
      <c r="F271" s="92"/>
      <c r="G271" s="92" t="s">
        <v>275</v>
      </c>
      <c r="H271" s="92"/>
      <c r="I271" s="92" t="s">
        <v>275</v>
      </c>
      <c r="J271" s="92"/>
      <c r="K271" s="93">
        <v>46282</v>
      </c>
      <c r="L271" s="92"/>
      <c r="M271" s="92"/>
      <c r="N271" s="92"/>
    </row>
    <row r="272" spans="1:14" ht="15.75" x14ac:dyDescent="0.25">
      <c r="A272" s="4">
        <v>269</v>
      </c>
      <c r="B272" s="103" t="s">
        <v>474</v>
      </c>
      <c r="C272" s="118" t="s">
        <v>661</v>
      </c>
      <c r="D272" s="103" t="s">
        <v>351</v>
      </c>
      <c r="E272" s="104">
        <v>45806</v>
      </c>
      <c r="F272" s="103"/>
      <c r="G272" s="103" t="s">
        <v>275</v>
      </c>
      <c r="H272" s="103"/>
      <c r="I272" s="103" t="s">
        <v>275</v>
      </c>
      <c r="J272" s="103"/>
      <c r="K272" s="104">
        <v>46171</v>
      </c>
      <c r="L272" s="103"/>
      <c r="M272" s="103"/>
      <c r="N272" s="103"/>
    </row>
    <row r="273" spans="1:14" ht="15.75" x14ac:dyDescent="0.25">
      <c r="A273" s="4">
        <v>270</v>
      </c>
      <c r="B273" s="4" t="s">
        <v>474</v>
      </c>
      <c r="C273" s="85" t="s">
        <v>662</v>
      </c>
      <c r="D273" s="4" t="s">
        <v>398</v>
      </c>
      <c r="E273" s="69">
        <v>45791</v>
      </c>
      <c r="F273" s="4"/>
      <c r="G273" s="4" t="s">
        <v>275</v>
      </c>
      <c r="H273" s="4"/>
      <c r="I273" s="4" t="s">
        <v>275</v>
      </c>
      <c r="J273" s="4"/>
      <c r="K273" s="69">
        <v>46156</v>
      </c>
      <c r="L273" s="4"/>
      <c r="M273" s="4"/>
      <c r="N273" s="4"/>
    </row>
    <row r="274" spans="1:14" ht="15.75" x14ac:dyDescent="0.25">
      <c r="A274" s="4">
        <v>271</v>
      </c>
      <c r="B274" s="4" t="s">
        <v>474</v>
      </c>
      <c r="C274" s="85" t="s">
        <v>428</v>
      </c>
      <c r="D274" s="4" t="s">
        <v>398</v>
      </c>
      <c r="E274" s="69">
        <v>45916</v>
      </c>
      <c r="F274" s="4"/>
      <c r="G274" s="4" t="s">
        <v>275</v>
      </c>
      <c r="H274" s="4"/>
      <c r="I274" s="4" t="s">
        <v>275</v>
      </c>
      <c r="J274" s="4"/>
      <c r="K274" s="69">
        <v>46281</v>
      </c>
      <c r="L274" s="4"/>
      <c r="M274" s="4"/>
      <c r="N274" s="4"/>
    </row>
    <row r="275" spans="1:14" ht="15.75" x14ac:dyDescent="0.25">
      <c r="A275" s="4">
        <v>272</v>
      </c>
      <c r="B275" s="103" t="s">
        <v>474</v>
      </c>
      <c r="C275" s="118" t="s">
        <v>663</v>
      </c>
      <c r="D275" s="103" t="s">
        <v>286</v>
      </c>
      <c r="E275" s="104">
        <v>45877</v>
      </c>
      <c r="F275" s="103"/>
      <c r="G275" s="103" t="s">
        <v>275</v>
      </c>
      <c r="H275" s="103"/>
      <c r="I275" s="103" t="s">
        <v>275</v>
      </c>
      <c r="J275" s="103"/>
      <c r="K275" s="104">
        <v>46242</v>
      </c>
      <c r="L275" s="103"/>
      <c r="M275" s="103"/>
      <c r="N275" s="103"/>
    </row>
    <row r="276" spans="1:14" ht="15.75" x14ac:dyDescent="0.25">
      <c r="A276" s="4">
        <v>273</v>
      </c>
      <c r="B276" s="4" t="s">
        <v>474</v>
      </c>
      <c r="C276" s="85" t="s">
        <v>181</v>
      </c>
      <c r="D276" s="4" t="s">
        <v>398</v>
      </c>
      <c r="E276" s="69">
        <v>45947</v>
      </c>
      <c r="F276" s="4"/>
      <c r="G276" s="4" t="s">
        <v>275</v>
      </c>
      <c r="H276" s="4"/>
      <c r="I276" s="4" t="s">
        <v>275</v>
      </c>
      <c r="J276" s="4"/>
      <c r="K276" s="69">
        <v>46312</v>
      </c>
      <c r="L276" s="4"/>
      <c r="M276" s="4"/>
      <c r="N276" s="4"/>
    </row>
    <row r="277" spans="1:14" ht="15.75" x14ac:dyDescent="0.25">
      <c r="A277" s="4">
        <v>274</v>
      </c>
      <c r="B277" s="103" t="s">
        <v>474</v>
      </c>
      <c r="C277" s="118" t="s">
        <v>664</v>
      </c>
      <c r="D277" s="103" t="s">
        <v>286</v>
      </c>
      <c r="E277" s="104">
        <v>45821</v>
      </c>
      <c r="F277" s="103"/>
      <c r="G277" s="103" t="s">
        <v>275</v>
      </c>
      <c r="H277" s="103"/>
      <c r="I277" s="104">
        <v>45923</v>
      </c>
      <c r="J277" s="103"/>
      <c r="K277" s="104">
        <v>46288</v>
      </c>
      <c r="L277" s="103"/>
      <c r="M277" s="103"/>
      <c r="N277" s="103"/>
    </row>
    <row r="278" spans="1:14" ht="15.75" x14ac:dyDescent="0.25">
      <c r="A278" s="4">
        <v>275</v>
      </c>
      <c r="B278" s="4" t="s">
        <v>474</v>
      </c>
      <c r="C278" s="85" t="s">
        <v>425</v>
      </c>
      <c r="D278" s="4" t="s">
        <v>398</v>
      </c>
      <c r="E278" s="69">
        <v>45808</v>
      </c>
      <c r="F278" s="4"/>
      <c r="G278" s="4" t="s">
        <v>275</v>
      </c>
      <c r="H278" s="4"/>
      <c r="I278" s="4" t="s">
        <v>275</v>
      </c>
      <c r="J278" s="4"/>
      <c r="K278" s="69">
        <v>46173</v>
      </c>
      <c r="L278" s="4"/>
      <c r="M278" s="4"/>
      <c r="N278" s="4"/>
    </row>
    <row r="279" spans="1:14" ht="15.75" x14ac:dyDescent="0.25">
      <c r="A279" s="4">
        <v>276</v>
      </c>
      <c r="B279" s="92" t="s">
        <v>474</v>
      </c>
      <c r="C279" s="117" t="s">
        <v>358</v>
      </c>
      <c r="D279" s="92" t="s">
        <v>479</v>
      </c>
      <c r="E279" s="93">
        <v>45860</v>
      </c>
      <c r="F279" s="92"/>
      <c r="G279" s="92" t="s">
        <v>275</v>
      </c>
      <c r="H279" s="92"/>
      <c r="I279" s="92" t="s">
        <v>275</v>
      </c>
      <c r="J279" s="92"/>
      <c r="K279" s="93">
        <v>46225</v>
      </c>
      <c r="L279" s="92"/>
      <c r="M279" s="92"/>
      <c r="N279" s="92"/>
    </row>
    <row r="280" spans="1:14" ht="15.75" x14ac:dyDescent="0.25">
      <c r="A280" s="4">
        <v>277</v>
      </c>
      <c r="B280" s="103" t="s">
        <v>474</v>
      </c>
      <c r="C280" s="118" t="s">
        <v>665</v>
      </c>
      <c r="D280" s="103" t="s">
        <v>594</v>
      </c>
      <c r="E280" s="104">
        <v>45891</v>
      </c>
      <c r="F280" s="103"/>
      <c r="G280" s="103" t="s">
        <v>275</v>
      </c>
      <c r="H280" s="103"/>
      <c r="I280" s="103" t="s">
        <v>275</v>
      </c>
      <c r="J280" s="103"/>
      <c r="K280" s="104">
        <v>46256</v>
      </c>
      <c r="L280" s="103"/>
      <c r="M280" s="103"/>
      <c r="N280" s="103"/>
    </row>
    <row r="281" spans="1:14" ht="15.75" x14ac:dyDescent="0.25">
      <c r="A281" s="4">
        <v>278</v>
      </c>
      <c r="B281" s="4" t="s">
        <v>474</v>
      </c>
      <c r="C281" s="85" t="s">
        <v>410</v>
      </c>
      <c r="D281" s="4" t="s">
        <v>398</v>
      </c>
      <c r="E281" s="69">
        <v>45833</v>
      </c>
      <c r="F281" s="4"/>
      <c r="G281" s="4" t="s">
        <v>275</v>
      </c>
      <c r="H281" s="4"/>
      <c r="I281" s="4" t="s">
        <v>275</v>
      </c>
      <c r="J281" s="4"/>
      <c r="K281" s="69">
        <v>46198</v>
      </c>
      <c r="L281" s="4"/>
      <c r="M281" s="4"/>
      <c r="N281" s="4"/>
    </row>
    <row r="282" spans="1:14" ht="15.75" x14ac:dyDescent="0.25">
      <c r="A282" s="4">
        <v>279</v>
      </c>
      <c r="B282" s="4" t="s">
        <v>474</v>
      </c>
      <c r="C282" s="85" t="s">
        <v>197</v>
      </c>
      <c r="D282" s="4" t="s">
        <v>398</v>
      </c>
      <c r="E282" s="69">
        <v>45792</v>
      </c>
      <c r="F282" s="4"/>
      <c r="G282" s="4" t="s">
        <v>275</v>
      </c>
      <c r="H282" s="4"/>
      <c r="I282" s="4" t="s">
        <v>275</v>
      </c>
      <c r="J282" s="4"/>
      <c r="K282" s="69">
        <v>46157</v>
      </c>
      <c r="L282" s="4"/>
      <c r="M282" s="4"/>
      <c r="N282" s="4"/>
    </row>
    <row r="283" spans="1:14" ht="15.75" x14ac:dyDescent="0.25">
      <c r="A283" s="4">
        <v>280</v>
      </c>
      <c r="B283" s="103" t="s">
        <v>474</v>
      </c>
      <c r="C283" s="124" t="s">
        <v>243</v>
      </c>
      <c r="D283" s="103" t="s">
        <v>242</v>
      </c>
      <c r="E283" s="104">
        <v>45910</v>
      </c>
      <c r="F283" s="103"/>
      <c r="G283" s="103" t="s">
        <v>275</v>
      </c>
      <c r="H283" s="103"/>
      <c r="I283" s="103" t="s">
        <v>275</v>
      </c>
      <c r="J283" s="125"/>
      <c r="K283" s="126">
        <v>46275</v>
      </c>
      <c r="L283" s="125"/>
      <c r="M283" s="125"/>
      <c r="N283" s="103"/>
    </row>
    <row r="284" spans="1:14" ht="15.75" x14ac:dyDescent="0.25">
      <c r="A284" s="4">
        <v>281</v>
      </c>
      <c r="B284" s="4" t="s">
        <v>474</v>
      </c>
      <c r="C284" s="85" t="s">
        <v>430</v>
      </c>
      <c r="D284" s="4" t="s">
        <v>398</v>
      </c>
      <c r="E284" s="69">
        <v>45853</v>
      </c>
      <c r="F284" s="4"/>
      <c r="G284" s="4" t="s">
        <v>275</v>
      </c>
      <c r="H284" s="4"/>
      <c r="I284" s="4" t="s">
        <v>275</v>
      </c>
      <c r="J284" s="4"/>
      <c r="K284" s="69">
        <v>46218</v>
      </c>
      <c r="L284" s="4"/>
      <c r="M284" s="4"/>
      <c r="N284" s="4"/>
    </row>
    <row r="285" spans="1:14" ht="15.75" x14ac:dyDescent="0.25">
      <c r="A285" s="4">
        <v>282</v>
      </c>
      <c r="B285" s="103" t="s">
        <v>474</v>
      </c>
      <c r="C285" s="118" t="s">
        <v>204</v>
      </c>
      <c r="D285" s="103" t="s">
        <v>478</v>
      </c>
      <c r="E285" s="104">
        <v>45890</v>
      </c>
      <c r="F285" s="103"/>
      <c r="G285" s="103" t="s">
        <v>275</v>
      </c>
      <c r="H285" s="103"/>
      <c r="I285" s="104">
        <v>45918</v>
      </c>
      <c r="J285" s="103"/>
      <c r="K285" s="104">
        <v>46283</v>
      </c>
      <c r="L285" s="103"/>
      <c r="M285" s="103"/>
      <c r="N285" s="103"/>
    </row>
    <row r="286" spans="1:14" ht="15.75" x14ac:dyDescent="0.25">
      <c r="A286" s="4">
        <v>283</v>
      </c>
      <c r="B286" s="4" t="s">
        <v>474</v>
      </c>
      <c r="C286" s="85" t="s">
        <v>154</v>
      </c>
      <c r="D286" s="4" t="s">
        <v>398</v>
      </c>
      <c r="E286" s="69">
        <v>45835</v>
      </c>
      <c r="F286" s="4"/>
      <c r="G286" s="4" t="s">
        <v>275</v>
      </c>
      <c r="H286" s="4"/>
      <c r="I286" s="4" t="s">
        <v>275</v>
      </c>
      <c r="J286" s="4"/>
      <c r="K286" s="69">
        <v>46200</v>
      </c>
      <c r="L286" s="4"/>
      <c r="M286" s="4"/>
      <c r="N286" s="4"/>
    </row>
    <row r="287" spans="1:14" x14ac:dyDescent="0.25">
      <c r="A287" s="4">
        <v>284</v>
      </c>
      <c r="B287" s="92" t="s">
        <v>140</v>
      </c>
      <c r="C287" s="92" t="s">
        <v>666</v>
      </c>
      <c r="D287" s="127" t="s">
        <v>286</v>
      </c>
      <c r="E287" s="93">
        <v>45962</v>
      </c>
      <c r="F287" s="92"/>
      <c r="G287" s="92" t="s">
        <v>275</v>
      </c>
      <c r="H287" s="92"/>
      <c r="I287" s="92" t="s">
        <v>275</v>
      </c>
      <c r="J287" s="92"/>
      <c r="K287" s="93">
        <v>46327</v>
      </c>
      <c r="L287" s="92"/>
      <c r="M287" s="92"/>
      <c r="N287" s="92"/>
    </row>
    <row r="288" spans="1:14" x14ac:dyDescent="0.25">
      <c r="A288" s="4">
        <v>285</v>
      </c>
      <c r="B288" s="4" t="s">
        <v>140</v>
      </c>
      <c r="C288" s="4" t="s">
        <v>667</v>
      </c>
      <c r="D288" s="4" t="s">
        <v>249</v>
      </c>
      <c r="E288" s="93">
        <v>45912</v>
      </c>
      <c r="F288" s="92"/>
      <c r="G288" s="92" t="s">
        <v>275</v>
      </c>
      <c r="H288" s="92"/>
      <c r="I288" s="92" t="s">
        <v>275</v>
      </c>
      <c r="J288" s="92"/>
      <c r="K288" s="93">
        <v>46277</v>
      </c>
      <c r="L288" s="92"/>
      <c r="M288" s="92"/>
      <c r="N288" s="92"/>
    </row>
    <row r="289" spans="1:14" x14ac:dyDescent="0.25">
      <c r="A289" s="4">
        <v>286</v>
      </c>
      <c r="B289" s="4" t="s">
        <v>140</v>
      </c>
      <c r="C289" s="4" t="s">
        <v>668</v>
      </c>
      <c r="D289" s="4" t="s">
        <v>352</v>
      </c>
      <c r="E289" s="69">
        <v>46002</v>
      </c>
      <c r="F289" s="4"/>
      <c r="G289" s="4" t="s">
        <v>275</v>
      </c>
      <c r="H289" s="4"/>
      <c r="I289" s="4" t="s">
        <v>275</v>
      </c>
      <c r="J289" s="4"/>
      <c r="K289" s="69">
        <v>46367</v>
      </c>
      <c r="L289" s="4"/>
      <c r="M289" s="4"/>
      <c r="N289" s="4"/>
    </row>
  </sheetData>
  <mergeCells count="2">
    <mergeCell ref="A1:B2"/>
    <mergeCell ref="C1:N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c4e778-3d0e-4d09-aeea-a06d34a35ae1" xsi:nil="true"/>
    <lcf76f155ced4ddcb4097134ff3c332f xmlns="2faedd71-7295-477c-8d9c-e71634b96f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CA1CF56F4A4A344A616286080DDA0BB" ma:contentTypeVersion="11" ma:contentTypeDescription="Crear nuevo documento." ma:contentTypeScope="" ma:versionID="12f75936648e356820afd34f35090df7">
  <xsd:schema xmlns:xsd="http://www.w3.org/2001/XMLSchema" xmlns:xs="http://www.w3.org/2001/XMLSchema" xmlns:p="http://schemas.microsoft.com/office/2006/metadata/properties" xmlns:ns2="2faedd71-7295-477c-8d9c-e71634b96f4e" xmlns:ns3="bec4e778-3d0e-4d09-aeea-a06d34a35ae1" targetNamespace="http://schemas.microsoft.com/office/2006/metadata/properties" ma:root="true" ma:fieldsID="feb923e4750c064dc5dfca89869f8a93" ns2:_="" ns3:_="">
    <xsd:import namespace="2faedd71-7295-477c-8d9c-e71634b96f4e"/>
    <xsd:import namespace="bec4e778-3d0e-4d09-aeea-a06d34a35a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edd71-7295-477c-8d9c-e71634b96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75e3a07-3a75-4299-9dba-0545cd414c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c4e778-3d0e-4d09-aeea-a06d34a35ae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f6aea2e-5952-4c28-b276-e941b067cfd8}" ma:internalName="TaxCatchAll" ma:showField="CatchAllData" ma:web="bec4e778-3d0e-4d09-aeea-a06d34a35a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763BAB-47B5-49F0-9BD2-5694497EE8DB}">
  <ds:schemaRefs>
    <ds:schemaRef ds:uri="http://purl.org/dc/elements/1.1/"/>
    <ds:schemaRef ds:uri="http://www.w3.org/XML/1998/namespace"/>
    <ds:schemaRef ds:uri="2faedd71-7295-477c-8d9c-e71634b96f4e"/>
    <ds:schemaRef ds:uri="http://purl.org/dc/dcmityp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ec4e778-3d0e-4d09-aeea-a06d34a35ae1"/>
  </ds:schemaRefs>
</ds:datastoreItem>
</file>

<file path=customXml/itemProps2.xml><?xml version="1.0" encoding="utf-8"?>
<ds:datastoreItem xmlns:ds="http://schemas.openxmlformats.org/officeDocument/2006/customXml" ds:itemID="{AFCE04B9-3D93-4B65-B027-9C139BD0FF24}">
  <ds:schemaRefs>
    <ds:schemaRef ds:uri="http://schemas.microsoft.com/sharepoint/v3/contenttype/forms"/>
  </ds:schemaRefs>
</ds:datastoreItem>
</file>

<file path=customXml/itemProps3.xml><?xml version="1.0" encoding="utf-8"?>
<ds:datastoreItem xmlns:ds="http://schemas.openxmlformats.org/officeDocument/2006/customXml" ds:itemID="{A3D6D8D6-06EE-4D1C-83B6-0C133DE26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edd71-7295-477c-8d9c-e71634b96f4e"/>
    <ds:schemaRef ds:uri="bec4e778-3d0e-4d09-aeea-a06d34a35a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GLOSARIO</vt:lpstr>
      <vt:lpstr>master</vt:lpstr>
      <vt:lpstr>ORDENES</vt:lpstr>
      <vt:lpstr>PLANIFICACION</vt:lpstr>
      <vt:lpstr>HORAS</vt:lpstr>
      <vt:lpstr>FACTURA</vt:lpstr>
      <vt:lpstr>PROYECTO NVR</vt:lpstr>
      <vt:lpstr>PRO HUMOS</vt:lpstr>
      <vt:lpstr>PRO LECTORAS</vt:lpstr>
      <vt:lpstr>MANT ANUAL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Sistemas DT 360</dc:creator>
  <cp:keywords/>
  <dc:description/>
  <cp:lastModifiedBy>Luis Guzman Malavé</cp:lastModifiedBy>
  <cp:revision/>
  <dcterms:created xsi:type="dcterms:W3CDTF">2026-02-27T17:23:07Z</dcterms:created>
  <dcterms:modified xsi:type="dcterms:W3CDTF">2026-03-26T03:12:20Z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0x0101004CA1CF56F4A4A344A616286080DDA0BB</vt:lpwstr>
  </property>
  <property fmtid="{D5CDD505-2E9C-101B-9397-08002B2CF9AE}" pid="3" name="MediaServiceImageTags">
    <vt:lpwstr/>
  </property>
</Properties>
</file>